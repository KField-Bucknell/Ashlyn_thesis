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base Info" sheetId="1" r:id="rId5"/>
    <sheet state="visible" name="Loggers" sheetId="2" r:id="rId6"/>
    <sheet state="visible" name="Pivot Table 2" sheetId="3" r:id="rId7"/>
    <sheet state="visible" name="Metadata" sheetId="4" r:id="rId8"/>
  </sheets>
  <definedNames>
    <definedName hidden="1" localSheetId="1" name="_xlnm._FilterDatabase">Loggers!$A$1:$AE$1000</definedName>
    <definedName hidden="1" localSheetId="3" name="_xlnm._FilterDatabase">Metadata!$A$1:$AC$1000</definedName>
  </definedNames>
  <calcPr/>
  <pivotCaches>
    <pivotCache cacheId="0" r:id="rId9"/>
  </pivotCaches>
</workbook>
</file>

<file path=xl/sharedStrings.xml><?xml version="1.0" encoding="utf-8"?>
<sst xmlns="http://schemas.openxmlformats.org/spreadsheetml/2006/main" count="783" uniqueCount="328">
  <si>
    <t>Column 'Date Removed' is either termination date, date the bat died, or date the next logger was applied. Here just for general trimming in R</t>
  </si>
  <si>
    <t>Serial Number</t>
  </si>
  <si>
    <t>Logger Name</t>
  </si>
  <si>
    <t>Bat Band</t>
  </si>
  <si>
    <t>Bat Pittag</t>
  </si>
  <si>
    <t>Treatment</t>
  </si>
  <si>
    <t>Group</t>
  </si>
  <si>
    <t>Date Attached</t>
  </si>
  <si>
    <t>Date Removed</t>
  </si>
  <si>
    <t xml:space="preserve">BUTT Status </t>
  </si>
  <si>
    <t>Experiment D Died</t>
  </si>
  <si>
    <t>Logger location</t>
  </si>
  <si>
    <t>Notes</t>
  </si>
  <si>
    <t xml:space="preserve"> </t>
  </si>
  <si>
    <t>1C00000081866F41</t>
  </si>
  <si>
    <t>A1</t>
  </si>
  <si>
    <t>DMR03190</t>
  </si>
  <si>
    <t>APS36067</t>
  </si>
  <si>
    <t>Downloaded</t>
  </si>
  <si>
    <t>CB0000008183CC41</t>
  </si>
  <si>
    <t>A2</t>
  </si>
  <si>
    <t>DMR03152</t>
  </si>
  <si>
    <t>APS36021</t>
  </si>
  <si>
    <t>7F000000818B3741</t>
  </si>
  <si>
    <t>A3</t>
  </si>
  <si>
    <t>DMR03191</t>
  </si>
  <si>
    <t>APS36108</t>
  </si>
  <si>
    <t>53000000811AC841</t>
  </si>
  <si>
    <t>A4</t>
  </si>
  <si>
    <t>DMR03154</t>
  </si>
  <si>
    <t>APS60123</t>
  </si>
  <si>
    <t>Missing</t>
  </si>
  <si>
    <t>A5</t>
  </si>
  <si>
    <t>DMR03162</t>
  </si>
  <si>
    <t>APS36106</t>
  </si>
  <si>
    <t>BB00000081230841</t>
  </si>
  <si>
    <t>A6</t>
  </si>
  <si>
    <t>DMR03161</t>
  </si>
  <si>
    <t>APS60125</t>
  </si>
  <si>
    <t>C5000000811EA541</t>
  </si>
  <si>
    <t>A7</t>
  </si>
  <si>
    <t>DMR03165</t>
  </si>
  <si>
    <t>APS60087</t>
  </si>
  <si>
    <t>46000000811E9741</t>
  </si>
  <si>
    <t>A8</t>
  </si>
  <si>
    <t>DMR03182</t>
  </si>
  <si>
    <t>APS60132</t>
  </si>
  <si>
    <t>2D00000081244E41</t>
  </si>
  <si>
    <t>A9</t>
  </si>
  <si>
    <t>DMR03174</t>
  </si>
  <si>
    <t>APS60148</t>
  </si>
  <si>
    <t>No Data</t>
  </si>
  <si>
    <t>DF00000081814041</t>
  </si>
  <si>
    <t>B1</t>
  </si>
  <si>
    <t>DMR03181</t>
  </si>
  <si>
    <t>APS60135</t>
  </si>
  <si>
    <t>Off-centered</t>
  </si>
  <si>
    <t xml:space="preserve">Off-centered to avoid wound of pittag </t>
  </si>
  <si>
    <t>95000000811F7641</t>
  </si>
  <si>
    <t>B2</t>
  </si>
  <si>
    <t>NA</t>
  </si>
  <si>
    <t>Not used</t>
  </si>
  <si>
    <t>0700000081190F41</t>
  </si>
  <si>
    <t>B3</t>
  </si>
  <si>
    <t>DMR03155</t>
  </si>
  <si>
    <t>APS36033</t>
  </si>
  <si>
    <t>D8000000818C4541</t>
  </si>
  <si>
    <t>B4</t>
  </si>
  <si>
    <t>DMR03185</t>
  </si>
  <si>
    <t>APS36103</t>
  </si>
  <si>
    <t>1000000081241041</t>
  </si>
  <si>
    <t>B5</t>
  </si>
  <si>
    <t>DMR03175</t>
  </si>
  <si>
    <t>APS36101</t>
  </si>
  <si>
    <t>E500000081218941</t>
  </si>
  <si>
    <t>B6</t>
  </si>
  <si>
    <t>DMR03160</t>
  </si>
  <si>
    <t>APS60109</t>
  </si>
  <si>
    <t>6100000081222041</t>
  </si>
  <si>
    <t>B7</t>
  </si>
  <si>
    <t>DMR03195</t>
  </si>
  <si>
    <t>APS60081</t>
  </si>
  <si>
    <t>63000000811C2F41</t>
  </si>
  <si>
    <t>B8</t>
  </si>
  <si>
    <t>DMR03180</t>
  </si>
  <si>
    <t>APS60146</t>
  </si>
  <si>
    <t>CD00000081881A41</t>
  </si>
  <si>
    <t>B9</t>
  </si>
  <si>
    <t>DMR03158</t>
  </si>
  <si>
    <t>APS36010</t>
  </si>
  <si>
    <t>AC00000081223941</t>
  </si>
  <si>
    <t>C1</t>
  </si>
  <si>
    <t>DMR03184</t>
  </si>
  <si>
    <t>APS60160</t>
  </si>
  <si>
    <t>BB000000818AFE41</t>
  </si>
  <si>
    <t>C2</t>
  </si>
  <si>
    <t>DMR03153</t>
  </si>
  <si>
    <t>APS60079</t>
  </si>
  <si>
    <t>0C00000081829341</t>
  </si>
  <si>
    <t>C3</t>
  </si>
  <si>
    <t>DMR03193</t>
  </si>
  <si>
    <t>APS36008</t>
  </si>
  <si>
    <t>Butt</t>
  </si>
  <si>
    <t>Some bad data points</t>
  </si>
  <si>
    <t>9B000000811F0F41</t>
  </si>
  <si>
    <t>C4</t>
  </si>
  <si>
    <t>DMR03186</t>
  </si>
  <si>
    <t>APS36057</t>
  </si>
  <si>
    <t>1D00000081175641</t>
  </si>
  <si>
    <t>C5</t>
  </si>
  <si>
    <t>DMR03157</t>
  </si>
  <si>
    <t>APS60118</t>
  </si>
  <si>
    <t>3C000000811C1941</t>
  </si>
  <si>
    <t>C6</t>
  </si>
  <si>
    <t>DMR03164</t>
  </si>
  <si>
    <t>APS60088</t>
  </si>
  <si>
    <t>19000000811D8A41</t>
  </si>
  <si>
    <t>C7</t>
  </si>
  <si>
    <t>DMR03151</t>
  </si>
  <si>
    <t>APS36011</t>
  </si>
  <si>
    <t>BD000000811A6E41</t>
  </si>
  <si>
    <t>C8</t>
  </si>
  <si>
    <t>DMR03173</t>
  </si>
  <si>
    <t>APS60086</t>
  </si>
  <si>
    <t>7E00000081837A41</t>
  </si>
  <si>
    <t>C9</t>
  </si>
  <si>
    <t>DMR03170</t>
  </si>
  <si>
    <t>60000000811CB941</t>
  </si>
  <si>
    <t>J1</t>
  </si>
  <si>
    <t>DMR03177</t>
  </si>
  <si>
    <t>APS36050</t>
  </si>
  <si>
    <t>8C00000081197141</t>
  </si>
  <si>
    <t>J2</t>
  </si>
  <si>
    <t>DMR03172</t>
  </si>
  <si>
    <t>APS60074</t>
  </si>
  <si>
    <t>06000000818A0441</t>
  </si>
  <si>
    <t>J3</t>
  </si>
  <si>
    <t>DMR03188</t>
  </si>
  <si>
    <t>APS36081</t>
  </si>
  <si>
    <t>E6000000811F0341</t>
  </si>
  <si>
    <t>J4</t>
  </si>
  <si>
    <t>DMR03166</t>
  </si>
  <si>
    <t>APS60100</t>
  </si>
  <si>
    <t>1200000081836B41</t>
  </si>
  <si>
    <t>J5</t>
  </si>
  <si>
    <t>DMR03168</t>
  </si>
  <si>
    <t>APS60115</t>
  </si>
  <si>
    <t>1C000000811B7F41</t>
  </si>
  <si>
    <t>J6</t>
  </si>
  <si>
    <t>DMR03192</t>
  </si>
  <si>
    <t>APS60113</t>
  </si>
  <si>
    <t>B00000008121E041</t>
  </si>
  <si>
    <t>J7</t>
  </si>
  <si>
    <t>7E00000081224441</t>
  </si>
  <si>
    <t>J8</t>
  </si>
  <si>
    <t>DMR03156</t>
  </si>
  <si>
    <t>APS60111</t>
  </si>
  <si>
    <t>8D000000818A7A41</t>
  </si>
  <si>
    <t>J9</t>
  </si>
  <si>
    <t>DMR03163</t>
  </si>
  <si>
    <t>APS60156</t>
  </si>
  <si>
    <t>2B0000008189E941</t>
  </si>
  <si>
    <t>K1</t>
  </si>
  <si>
    <t>DMR03171</t>
  </si>
  <si>
    <t>APS60134</t>
  </si>
  <si>
    <t>01000000811F6C41</t>
  </si>
  <si>
    <t>K2</t>
  </si>
  <si>
    <t>DMR03176</t>
  </si>
  <si>
    <t>APS60082</t>
  </si>
  <si>
    <t>7D0000008122D241</t>
  </si>
  <si>
    <t>K3</t>
  </si>
  <si>
    <t>DMR03189</t>
  </si>
  <si>
    <t>APS60112</t>
  </si>
  <si>
    <t>CB0000008181FE41</t>
  </si>
  <si>
    <t>K4</t>
  </si>
  <si>
    <t>DMR03178</t>
  </si>
  <si>
    <t>APS60141</t>
  </si>
  <si>
    <t>B40000008187B741</t>
  </si>
  <si>
    <t>K5</t>
  </si>
  <si>
    <t>DMR03183</t>
  </si>
  <si>
    <t>APS36026</t>
  </si>
  <si>
    <t>Some bad data</t>
  </si>
  <si>
    <t>D3000000811C3A41</t>
  </si>
  <si>
    <t>K6</t>
  </si>
  <si>
    <t>DMR03179</t>
  </si>
  <si>
    <t>APS60065</t>
  </si>
  <si>
    <t>4D00000081190241</t>
  </si>
  <si>
    <t>K7</t>
  </si>
  <si>
    <t>3D000000818A6F41</t>
  </si>
  <si>
    <t>K8</t>
  </si>
  <si>
    <t>DMR03159</t>
  </si>
  <si>
    <t>APS36007</t>
  </si>
  <si>
    <t>770000008187D741</t>
  </si>
  <si>
    <t>K9</t>
  </si>
  <si>
    <t>B5000000818B9E41</t>
  </si>
  <si>
    <t>S1</t>
  </si>
  <si>
    <t>DMR03194</t>
  </si>
  <si>
    <t>APS36027</t>
  </si>
  <si>
    <t>9A000000811E9341</t>
  </si>
  <si>
    <t>S2</t>
  </si>
  <si>
    <t>DMR03187</t>
  </si>
  <si>
    <t>APS36036</t>
  </si>
  <si>
    <t>S3</t>
  </si>
  <si>
    <t>Same serial umber as K6</t>
  </si>
  <si>
    <t>S4</t>
  </si>
  <si>
    <t>S5</t>
  </si>
  <si>
    <t>S6</t>
  </si>
  <si>
    <t>S7</t>
  </si>
  <si>
    <t>Data messed up probably have to throw out</t>
  </si>
  <si>
    <t>S8</t>
  </si>
  <si>
    <t>S9</t>
  </si>
  <si>
    <t>V1</t>
  </si>
  <si>
    <t>V2</t>
  </si>
  <si>
    <t>V3</t>
  </si>
  <si>
    <t xml:space="preserve">COUNTA of BUTT Status </t>
  </si>
  <si>
    <t>Grand Total</t>
  </si>
  <si>
    <t>Band #</t>
  </si>
  <si>
    <t>Pittag #</t>
  </si>
  <si>
    <t>Capture Date</t>
  </si>
  <si>
    <t>Capture Site</t>
  </si>
  <si>
    <t>FA length</t>
  </si>
  <si>
    <t>Inital Weight</t>
  </si>
  <si>
    <t>weights for group assignment</t>
  </si>
  <si>
    <t>BMI</t>
  </si>
  <si>
    <t>Sex</t>
  </si>
  <si>
    <t>Rep Condition</t>
  </si>
  <si>
    <t>Status on 5-Sep, 2025</t>
  </si>
  <si>
    <t>group assignment data</t>
  </si>
  <si>
    <t>TREATMENT</t>
  </si>
  <si>
    <t>Date Died</t>
  </si>
  <si>
    <t>Scott's House</t>
  </si>
  <si>
    <t>Male</t>
  </si>
  <si>
    <t>Self feeding</t>
  </si>
  <si>
    <t>DMR03151 - BMI: 0.299258 (Male)</t>
  </si>
  <si>
    <t>Dual</t>
  </si>
  <si>
    <t>GP 2</t>
  </si>
  <si>
    <t>D21</t>
  </si>
  <si>
    <t>2-Oct: Put down</t>
  </si>
  <si>
    <t>Warriors Mark Farmhouse</t>
  </si>
  <si>
    <t>DMR03158 - BMI: 0.357560 (Male)</t>
  </si>
  <si>
    <t>D36</t>
  </si>
  <si>
    <t>5-Sep: Noticed infection at pittag injection site on 5-Sep. Isolating in infection cage. 6-Sep: Wound is bad but no pus just bleeding. Starting to scab over. Still very active. Fed a few mealworms</t>
  </si>
  <si>
    <t>Female</t>
  </si>
  <si>
    <t>DMR03159 - BMI: 0.507343 (Female)</t>
  </si>
  <si>
    <t>DMR03162 - BMI: 0.536898 (Female)</t>
  </si>
  <si>
    <t>GP 1</t>
  </si>
  <si>
    <t>Old Danville Highway Barn</t>
  </si>
  <si>
    <t>DMR03182 - BMI: 0.444690 (Female)</t>
  </si>
  <si>
    <t>Deceased</t>
  </si>
  <si>
    <t>DMR03174 - BMI: 0.534479 (Female)</t>
  </si>
  <si>
    <t>NoCo</t>
  </si>
  <si>
    <t>D6</t>
  </si>
  <si>
    <t>14-Sep: Found dead in the morning. Looks healthy and in good condition.</t>
  </si>
  <si>
    <t>DMR03190 - BMI: 0.315997 (Male)</t>
  </si>
  <si>
    <t>D3</t>
  </si>
  <si>
    <t>Has been aggressive and biting since Sep 7th. When returning to flight cages would approach other bats and bite them. Around 1200 on Sep 11 was found with bite injury to face and bloody eye, but still active. Found on floor of flight cage around 1700 on Sep 11th, very weak, cold, and half swollen face. Put down with isoflurane</t>
  </si>
  <si>
    <t>DMR03187 - BMI: 0.319693 (Female)</t>
  </si>
  <si>
    <t>DMR03191 - BMI: 0.567574 (Male)</t>
  </si>
  <si>
    <t>DMR03161 - BMI: 0.717046 (Female)</t>
  </si>
  <si>
    <t>Secondary</t>
  </si>
  <si>
    <t>D27</t>
  </si>
  <si>
    <t xml:space="preserve">8-Oct: Found dead by animal care team. 4-Oct: Cold and lethargic </t>
  </si>
  <si>
    <t>APS60073</t>
  </si>
  <si>
    <t>DMR03170 - BMI: 0.583988 (Female)</t>
  </si>
  <si>
    <t>DMR03195 - BMI: 0.428698 (Male)</t>
  </si>
  <si>
    <t>Skin ripped during pittag insertion. Used super glue to close the skin - might not work well with BUTT on the back. Maybe consider using as a back up bat</t>
  </si>
  <si>
    <t>DMR03153 - BMI: 0.476507 (Male)</t>
  </si>
  <si>
    <t>DMR03178 - BMI: 0.342672 (Female)</t>
  </si>
  <si>
    <t>DMR03171 - BMI: 0.646755 (Female)</t>
  </si>
  <si>
    <t>D4</t>
  </si>
  <si>
    <t>5-Sep: Noticed infection at pittag injection site on 5-Sep. Isolating in infection cage. Yellowing color and squishy like 169, but still very active.  6-Sep: Still very active, looks pretty good. Did not notice any bleeding or oozing on back. Yellowish color has gone away. Kept in quarantine cage to keep an eye on. Found dead on Sep 12. Looked healthy and fine.</t>
  </si>
  <si>
    <t>DMR03193 - BMI: 0.469236294 (Male)</t>
  </si>
  <si>
    <t>Was spare but replaced DMR03169</t>
  </si>
  <si>
    <t>DMR03154 - BMI: 0.555945 (Male)</t>
  </si>
  <si>
    <t>SHAM</t>
  </si>
  <si>
    <t>DMR03160 - BMI: 0.483363 (Female)</t>
  </si>
  <si>
    <t>D1</t>
  </si>
  <si>
    <t>Replaced with DMR03188</t>
  </si>
  <si>
    <t>Huge hole in wing where band was. Broken wing. Euthanized 9-Sep</t>
  </si>
  <si>
    <t>DMR03166 - BMI: 0.755826 (Female)</t>
  </si>
  <si>
    <t>Replaced with DMR03180</t>
  </si>
  <si>
    <t>Bit Ashlyn. Euthanized 9-Sep and sent in for rabies testing</t>
  </si>
  <si>
    <t>DMR03179 - BMI: 0.348810 (Female)</t>
  </si>
  <si>
    <t>D5</t>
  </si>
  <si>
    <t>12-Sep: Only half holding on to cage wall. Reacted when grabbing him by opening mouth wide but not trying to move around at all. When placed on back not trying to flip itself back over. In good condition overall. Placed him back on the wall and he stayed in the same spot right side up.13-Sep: Found dead.</t>
  </si>
  <si>
    <t>DMR03173 - BMI: 0.724638 (Female)</t>
  </si>
  <si>
    <t>Primary</t>
  </si>
  <si>
    <t>13-Sep: Extremely weak and lethargic. Put down.</t>
  </si>
  <si>
    <t>DMR03175 - BMI: 0.523713 (Male)</t>
  </si>
  <si>
    <t>Replaced with DMR03194</t>
  </si>
  <si>
    <t>Found dead around noon on Sep 11th. Body still warm and in good condition. No visible wounds or infections. Unable to collect blood samples on Sep 10th - could be related to death.</t>
  </si>
  <si>
    <t>DMR03152 - BMI: 0.531367 (Male)</t>
  </si>
  <si>
    <t>DMR03157 - BMI: 0.545334 (Male)</t>
  </si>
  <si>
    <t>DMR03164 - BMI: 0.571554 (Female)</t>
  </si>
  <si>
    <t>DMR03165 - BMI: 0.752782 (Female)</t>
  </si>
  <si>
    <t>16-Sep: Found dead by animal care staff. Stomach feels a bit squishy. Coat not very clean. Notes that he was a bleeder on 12-Sep and that right thumb looked swollen. Not holding on to cage with right thumb having a hard time moving around. Seen at the bottom of flight cage on 14-Sep but reactive when handled and put back.</t>
  </si>
  <si>
    <t>DMR03169</t>
  </si>
  <si>
    <t>APS60140</t>
  </si>
  <si>
    <t>DMR03169 - BMI: 0.551093 (Female)</t>
  </si>
  <si>
    <t>D-4</t>
  </si>
  <si>
    <t>Replaced with DMR03193</t>
  </si>
  <si>
    <t>Looked really bad on morning of 4-Sep. By late afternoon looking worse and lethargic. Bat looked very yellow and squishy. Put down using ISO</t>
  </si>
  <si>
    <t>Troxelville House</t>
  </si>
  <si>
    <t>DMR03176 - BMI: 0.470729 (Female)</t>
  </si>
  <si>
    <t>DMR03183 - BMI: 0.428115 (Female)</t>
  </si>
  <si>
    <t>DMR03184 - BMI: 0.338770 (Female)</t>
  </si>
  <si>
    <t>DMR03186 - BMI: 0.315813 (Male)</t>
  </si>
  <si>
    <t>DMR03163 - BMI: 0.453889 (Female)</t>
  </si>
  <si>
    <t>DMR03168 - BMI: 0.571490 (Female)</t>
  </si>
  <si>
    <t>6-Sep: Back is bleeding and a bit of pus coming from under the iButton. Lifted the iButton a bit and cleaned the whole back with alcohol wipe. Put in quarantine cage to keep an eye on</t>
  </si>
  <si>
    <t>DMR03172 - BMI: 0.538657 (Female)</t>
  </si>
  <si>
    <t>DMR03189 - BMI: 0.384358 (Male)</t>
  </si>
  <si>
    <t>13-Sep: Found dead.</t>
  </si>
  <si>
    <t>DMR03177 - BMI: 0.332767 (Female)</t>
  </si>
  <si>
    <t>DMR03155 - BMI: 0.586802 (Female)</t>
  </si>
  <si>
    <t>DMR03156 - BMI: 0.534713 (Female)</t>
  </si>
  <si>
    <t>DMR03181 - BMI: 0.317256 (Female)</t>
  </si>
  <si>
    <t>DMR03192 - BMI: 0.450325 (Male)</t>
  </si>
  <si>
    <t>DMR03180 - BMI: 0.4854368932 (Male)</t>
  </si>
  <si>
    <t>Was spare but replaced DMR03166</t>
  </si>
  <si>
    <t>DMR03188 - BMI: 0.5011235955 (Male)</t>
  </si>
  <si>
    <t>D23</t>
  </si>
  <si>
    <t>Was spare but replaced DMR03160</t>
  </si>
  <si>
    <t>10/3: Maybe wrist is dislocated. Very bruised and swollen; 10/4: found dead</t>
  </si>
  <si>
    <t>DMR03185 - BMI: 0.312082 (Female)</t>
  </si>
  <si>
    <t>DMR03194 - BMI 0.4417231577 (Male)</t>
  </si>
  <si>
    <t>Was spare but replaced DMR03175</t>
  </si>
  <si>
    <t>15-Sep: Found dead, looks healthy</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</si>
</sst>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mm-yy"/>
    <numFmt numFmtId="165" formatCode="d&quot;-&quot;mmm&quot;, &quot;yyyy"/>
    <numFmt numFmtId="166" formatCode="d-mmm, yyyy"/>
  </numFmts>
  <fonts count="8">
    <font>
      <sz val="10.0"/>
      <color rgb="FF000000"/>
      <name val="Arial"/>
      <scheme val="minor"/>
    </font>
    <font>
      <color theme="1"/>
      <name val="Arial"/>
      <scheme val="minor"/>
    </font>
    <font>
      <b/>
      <sz val="11.0"/>
      <color theme="1"/>
      <name val="Calibri"/>
    </font>
    <font>
      <sz val="11.0"/>
      <color theme="1"/>
      <name val="Calibri"/>
    </font>
    <font>
      <b/>
      <color theme="1"/>
      <name val="Arial"/>
    </font>
    <font>
      <color theme="1"/>
      <name val="Arial"/>
    </font>
    <font>
      <sz val="12.0"/>
      <color theme="1"/>
      <name val="Arial"/>
    </font>
    <font>
      <color rgb="FF222222"/>
      <name val="Arial"/>
    </font>
  </fonts>
  <fills count="5">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FFFFFF"/>
        <bgColor rgb="FFFFFFFF"/>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readingOrder="0" vertical="bottom"/>
    </xf>
    <xf borderId="0" fillId="0" fontId="3" numFmtId="0" xfId="0" applyAlignment="1" applyFont="1">
      <alignment vertical="bottom"/>
    </xf>
    <xf borderId="0" fillId="0" fontId="1" numFmtId="164" xfId="0" applyAlignment="1" applyFont="1" applyNumberFormat="1">
      <alignment readingOrder="0"/>
    </xf>
    <xf borderId="0" fillId="2" fontId="1" numFmtId="0" xfId="0" applyAlignment="1" applyFill="1" applyFont="1">
      <alignment readingOrder="0"/>
    </xf>
    <xf borderId="0" fillId="0" fontId="1" numFmtId="0" xfId="0" applyFont="1"/>
    <xf borderId="0" fillId="0" fontId="4" numFmtId="0" xfId="0" applyAlignment="1" applyFont="1">
      <alignment readingOrder="0" vertical="bottom"/>
    </xf>
    <xf borderId="0" fillId="0" fontId="4" numFmtId="0" xfId="0" applyAlignment="1" applyFont="1">
      <alignment vertical="bottom"/>
    </xf>
    <xf borderId="0" fillId="0" fontId="5" numFmtId="0" xfId="0" applyAlignment="1" applyFont="1">
      <alignment vertical="bottom"/>
    </xf>
    <xf borderId="0" fillId="0" fontId="5" numFmtId="0" xfId="0" applyAlignment="1" applyFont="1">
      <alignment readingOrder="0" vertical="bottom"/>
    </xf>
    <xf borderId="0" fillId="0" fontId="5" numFmtId="165" xfId="0" applyAlignment="1" applyFont="1" applyNumberFormat="1">
      <alignment horizontal="right" readingOrder="0" vertical="bottom"/>
    </xf>
    <xf borderId="0" fillId="0" fontId="5" numFmtId="0" xfId="0" applyAlignment="1" applyFont="1">
      <alignment horizontal="right" readingOrder="0" vertical="bottom"/>
    </xf>
    <xf borderId="0" fillId="0" fontId="6" numFmtId="0" xfId="0" applyAlignment="1" applyFont="1">
      <alignment readingOrder="0" vertical="bottom"/>
    </xf>
    <xf borderId="0" fillId="0" fontId="5" numFmtId="166" xfId="0" applyAlignment="1" applyFont="1" applyNumberFormat="1">
      <alignment horizontal="right" readingOrder="0" vertical="bottom"/>
    </xf>
    <xf borderId="0" fillId="3" fontId="6" numFmtId="0" xfId="0" applyAlignment="1" applyFill="1" applyFont="1">
      <alignment readingOrder="0" vertical="bottom"/>
    </xf>
    <xf borderId="0" fillId="4" fontId="7" numFmtId="0" xfId="0" applyAlignment="1" applyFill="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E1000" sheet="Loggers"/>
  </cacheSource>
  <cacheFields>
    <cacheField name="Serial Number">
      <sharedItems containsBlank="1" containsMixedTypes="1" containsNumber="1" containsInteger="1">
        <s v="1C00000081866F41"/>
        <s v="CB0000008183CC41"/>
        <s v="7F000000818B3741"/>
        <s v="53000000811AC841"/>
        <n v="2.00000081173241E14"/>
        <s v="BB00000081230841"/>
        <s v="C5000000811EA541"/>
        <s v="46000000811E9741"/>
        <s v="2D00000081244E41"/>
        <s v="DF00000081814041"/>
        <s v="95000000811F7641"/>
        <s v="0700000081190F41"/>
        <s v="D8000000818C4541"/>
        <s v="1000000081241041"/>
        <s v="E500000081218941"/>
        <s v="6100000081222041"/>
        <s v="63000000811C2F41"/>
        <s v="CD00000081881A41"/>
        <s v="AC00000081223941"/>
        <s v="BB000000818AFE41"/>
        <s v="0C00000081829341"/>
        <s v="9B000000811F0F41"/>
        <s v="1D00000081175641"/>
        <s v="3C000000811C1941"/>
        <s v="19000000811D8A41"/>
        <s v="BD000000811A6E41"/>
        <s v="7E00000081837A41"/>
        <s v="60000000811CB941"/>
        <s v="8C00000081197141"/>
        <s v="06000000818A0441"/>
        <s v="E6000000811F0341"/>
        <s v="1200000081836B41"/>
        <s v="1C000000811B7F41"/>
        <s v="B00000008121E041"/>
        <s v="7E00000081224441"/>
        <s v="8D000000818A7A41"/>
        <s v="2B0000008189E941"/>
        <s v="01000000811F6C41"/>
        <s v="7D0000008122D241"/>
        <s v="CB0000008181FE41"/>
        <s v="B40000008187B741"/>
        <s v="D3000000811C3A41"/>
        <s v="4D00000081190241"/>
        <s v="3D000000818A6F41"/>
        <s v="770000008187D741"/>
        <s v="B5000000818B9E41"/>
        <s v="9A000000811E9341"/>
        <s v=" "/>
        <m/>
      </sharedItems>
    </cacheField>
    <cacheField name="Logger Name" numFmtId="0">
      <sharedItems containsBlank="1">
        <s v="A1"/>
        <s v="A2"/>
        <s v="A3"/>
        <s v="A4"/>
        <s v="A5"/>
        <s v="A6"/>
        <s v="A7"/>
        <s v="A8"/>
        <s v="A9"/>
        <s v="B1"/>
        <s v="B2"/>
        <s v="B3"/>
        <s v="B4"/>
        <s v="B5"/>
        <s v="B6"/>
        <s v="B7"/>
        <s v="B8"/>
        <s v="B9"/>
        <s v="C1"/>
        <s v="C2"/>
        <s v="C3"/>
        <s v="C4"/>
        <s v="C5"/>
        <s v="C6"/>
        <s v="C7"/>
        <s v="C8"/>
        <s v="C9"/>
        <s v="J1"/>
        <s v="J2"/>
        <s v="J3"/>
        <s v="J4"/>
        <s v="J5"/>
        <s v="J6"/>
        <s v="J7"/>
        <s v="J8"/>
        <s v="J9"/>
        <s v="K1"/>
        <s v="K2"/>
        <s v="K3"/>
        <s v="K4"/>
        <s v="K5"/>
        <s v="K6"/>
        <s v="K7"/>
        <s v="K8"/>
        <s v="K9"/>
        <s v="S1"/>
        <s v="S2"/>
        <s v="S3"/>
        <s v="S4"/>
        <s v="S5"/>
        <s v="S6"/>
        <s v="S7"/>
        <s v="S8"/>
        <s v="S9"/>
        <s v="V1"/>
        <s v="V2"/>
        <s v="V3"/>
        <m/>
      </sharedItems>
    </cacheField>
    <cacheField name="Bat Band" numFmtId="0">
      <sharedItems containsBlank="1">
        <s v="DMR03190"/>
        <s v="DMR03152"/>
        <s v="DMR03191"/>
        <s v="DMR03154"/>
        <s v="DMR03162"/>
        <s v="DMR03161"/>
        <s v="DMR03165"/>
        <s v="DMR03182"/>
        <s v="DMR03174"/>
        <s v="DMR03181"/>
        <s v="NA"/>
        <s v="DMR03155"/>
        <s v="DMR03185"/>
        <s v="DMR03175"/>
        <s v="DMR03160"/>
        <s v="DMR03195"/>
        <s v="DMR03180"/>
        <s v="DMR03158"/>
        <s v="DMR03184"/>
        <s v="DMR03153"/>
        <s v="DMR03193"/>
        <s v="DMR03186"/>
        <s v="DMR03157"/>
        <s v="DMR03164"/>
        <s v="DMR03151"/>
        <s v="DMR03173"/>
        <s v="DMR03170"/>
        <s v="DMR03177"/>
        <s v="DMR03172"/>
        <s v="DMR03188"/>
        <s v="DMR03166"/>
        <s v="DMR03168"/>
        <s v="DMR03192"/>
        <s v="DMR03156"/>
        <s v="DMR03163"/>
        <s v="DMR03171"/>
        <s v="DMR03176"/>
        <s v="DMR03189"/>
        <s v="DMR03178"/>
        <s v="DMR03183"/>
        <s v="DMR03179"/>
        <s v="DMR03159"/>
        <s v="DMR03194"/>
        <s v="DMR03187"/>
        <m/>
      </sharedItems>
    </cacheField>
    <cacheField name="Bat Pittag" numFmtId="0">
      <sharedItems containsBlank="1">
        <s v="APS36067"/>
        <s v="APS36021"/>
        <s v="APS36108"/>
        <s v="APS60123"/>
        <s v="APS36106"/>
        <s v="APS60125"/>
        <s v="APS60087"/>
        <s v="APS60132"/>
        <s v="APS60148"/>
        <s v="APS60135"/>
        <s v="NA"/>
        <s v="APS36033"/>
        <s v="APS36103"/>
        <s v="APS36101"/>
        <s v="APS60109"/>
        <s v="APS60081"/>
        <s v="APS60146"/>
        <s v="APS36010"/>
        <s v="APS60160"/>
        <s v="APS60079"/>
        <s v="APS36008"/>
        <s v="APS36057"/>
        <s v="APS60118"/>
        <s v="APS60088"/>
        <s v="APS36011"/>
        <s v="APS60086"/>
        <s v="APS36050"/>
        <s v="APS60074"/>
        <s v="APS36081"/>
        <s v="APS60100"/>
        <s v="APS60115"/>
        <s v="APS60113"/>
        <s v="APS60111"/>
        <s v="APS60156"/>
        <s v="APS60134"/>
        <s v="APS60082"/>
        <s v="APS60112"/>
        <s v="APS60141"/>
        <s v="APS36026"/>
        <s v="APS60065"/>
        <s v="APS36007"/>
        <s v="APS36027"/>
        <s v="APS36036"/>
        <m/>
      </sharedItems>
    </cacheField>
    <cacheField name="Treatment" numFmtId="0">
      <sharedItems containsBlank="1">
        <s v="NoCo"/>
        <s v="Primary"/>
        <s v="Dual"/>
        <s v="SHAM"/>
        <s v="Secondary"/>
        <s v="NA"/>
        <m/>
      </sharedItems>
    </cacheField>
    <cacheField name="Group" numFmtId="0">
      <sharedItems containsBlank="1">
        <s v="GP 1"/>
        <s v="GP 2"/>
        <s v="NA"/>
        <m/>
      </sharedItems>
    </cacheField>
    <cacheField name="Date Attached">
      <sharedItems containsDate="1" containsBlank="1" containsMixedTypes="1">
        <d v="2025-09-06T00:00:00Z"/>
        <d v="2025-09-02T00:00:00Z"/>
        <d v="2025-09-09T00:00:00Z"/>
        <s v="NA"/>
        <d v="2025-10-02T00:00:00Z"/>
        <d v="2025-09-29T00:00:00Z"/>
        <m/>
      </sharedItems>
    </cacheField>
    <cacheField name="Date Removed">
      <sharedItems containsDate="1" containsBlank="1" containsMixedTypes="1">
        <d v="2025-09-10T00:00:00Z"/>
        <d v="2025-10-17T00:00:00Z"/>
        <d v="2025-09-29T00:00:00Z"/>
        <d v="2025-10-08T00:00:00Z"/>
        <d v="2025-09-16T00:00:00Z"/>
        <d v="2025-10-14T00:00:00Z"/>
        <d v="2025-09-15T00:00:00Z"/>
        <s v="NA"/>
        <d v="2025-09-11T00:00:00Z"/>
        <d v="2025-09-09T00:00:00Z"/>
        <d v="2025-10-02T00:00:00Z"/>
        <d v="2025-09-13T00:00:00Z"/>
        <d v="2025-10-04T00:00:00Z"/>
        <d v="2025-09-12T00:00:00Z"/>
        <m/>
      </sharedItems>
    </cacheField>
    <cacheField name="BUTT Status " numFmtId="0">
      <sharedItems containsBlank="1">
        <s v="Downloaded"/>
        <s v="Missing"/>
        <s v="No Data"/>
        <s v="Not used"/>
        <s v="NA"/>
        <m/>
      </sharedItems>
    </cacheField>
    <cacheField name="Experiment D Died" numFmtId="0">
      <sharedItems containsBlank="1">
        <s v="D3"/>
        <s v="D36"/>
        <s v="D27"/>
        <s v="D5"/>
        <s v="D6"/>
        <s v="NA"/>
        <s v="D1"/>
        <s v="D21"/>
        <s v="D23"/>
        <s v="D4"/>
        <m/>
      </sharedItems>
    </cacheField>
    <cacheField name="Logger location" numFmtId="0">
      <sharedItems containsBlank="1">
        <m/>
        <s v="Off-centered"/>
        <s v="Butt"/>
      </sharedItems>
    </cacheField>
    <cacheField name="Notes" numFmtId="0">
      <sharedItems containsBlank="1">
        <m/>
        <s v="Off-centered to avoid wound of pittag "/>
        <s v="Some bad data points"/>
        <s v="Some bad data"/>
        <s v="Same serial umber as K6"/>
        <s v="Data messed up probably have to throw out"/>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 name=" 19"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2" cacheId="0" dataCaption="" compact="0" compactData="0">
  <location ref="A4:B6" firstHeaderRow="0" firstDataRow="1" firstDataCol="1" rowPageCount="2" colPageCount="1"/>
  <pivotFields>
    <pivotField name="Serial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Logg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Bat B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Bat Pitta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Treatment" axis="axisRow" compact="0" outline="0" multipleItemSelectionAllowed="1" showAll="0" sortType="ascending">
      <items>
        <item x="6"/>
        <item x="2"/>
        <item x="5"/>
        <item x="0"/>
        <item x="1"/>
        <item x="4"/>
        <item x="3"/>
        <item t="default"/>
      </items>
    </pivotField>
    <pivotField name="Group" compact="0" outline="0" multipleItemSelectionAllowed="1" showAll="0">
      <items>
        <item x="0"/>
        <item x="1"/>
        <item x="2"/>
        <item x="3"/>
        <item t="default"/>
      </items>
    </pivotField>
    <pivotField name="Date Attached" axis="axisCol" compact="0" outline="0" multipleItemSelectionAllowed="1" showAll="0" sortType="ascending">
      <items>
        <item x="6"/>
        <item x="1"/>
        <item x="0"/>
        <item x="2"/>
        <item x="5"/>
        <item x="4"/>
        <item x="3"/>
        <item t="default"/>
      </items>
    </pivotField>
    <pivotField name="Date Removed" compact="0" outline="0" multipleItemSelectionAllowed="1" showAll="0">
      <items>
        <item x="0"/>
        <item x="1"/>
        <item x="2"/>
        <item x="3"/>
        <item x="4"/>
        <item x="5"/>
        <item x="6"/>
        <item x="7"/>
        <item x="8"/>
        <item x="9"/>
        <item x="10"/>
        <item x="11"/>
        <item x="12"/>
        <item x="13"/>
        <item x="14"/>
        <item t="default"/>
      </items>
    </pivotField>
    <pivotField name="BUTT Status " axis="axisPage" dataField="1" compact="0" outline="0" multipleItemSelectionAllowed="1" showAll="0">
      <items>
        <item x="0"/>
        <item h="1" x="1"/>
        <item h="1" x="2"/>
        <item x="3"/>
        <item h="1" x="4"/>
        <item h="1" x="5"/>
        <item t="default"/>
      </items>
    </pivotField>
    <pivotField name="Experiment D Died" axis="axisPage" compact="0" outline="0" multipleItemSelectionAllowed="1" showAll="0">
      <items>
        <item h="1" x="0"/>
        <item h="1" x="1"/>
        <item h="1" x="2"/>
        <item h="1" x="3"/>
        <item h="1" x="4"/>
        <item h="1" x="5"/>
        <item h="1" x="6"/>
        <item h="1" x="7"/>
        <item h="1" x="8"/>
        <item h="1" x="9"/>
        <item h="1" x="10"/>
        <item t="default"/>
      </items>
    </pivotField>
    <pivotField name="Logger location" compact="0" outline="0" multipleItemSelectionAllowed="1" showAll="0">
      <items>
        <item x="0"/>
        <item x="1"/>
        <item x="2"/>
        <item t="default"/>
      </items>
    </pivotField>
    <pivotField name="Notes" compact="0" outline="0" multipleItemSelectionAllowed="1" showAll="0">
      <items>
        <item x="0"/>
        <item x="1"/>
        <item x="2"/>
        <item x="3"/>
        <item x="4"/>
        <item x="5"/>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s>
  <rowFields>
    <field x="4"/>
  </rowFields>
  <colFields>
    <field x="6"/>
  </colFields>
  <pageFields>
    <pageField fld="8"/>
    <pageField fld="9"/>
  </pageFields>
  <dataFields>
    <dataField name="COUNTA of BUTT Status " fld="8"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6.25"/>
  </cols>
  <sheetData>
    <row r="1">
      <c r="A1" s="2" t="s">
        <v>1</v>
      </c>
      <c r="B1" s="3" t="s">
        <v>2</v>
      </c>
      <c r="C1" s="3" t="s">
        <v>3</v>
      </c>
      <c r="D1" s="3" t="s">
        <v>4</v>
      </c>
      <c r="E1" s="4" t="s">
        <v>5</v>
      </c>
      <c r="F1" s="4" t="s">
        <v>6</v>
      </c>
      <c r="G1" s="3" t="s">
        <v>7</v>
      </c>
      <c r="H1" s="3" t="s">
        <v>8</v>
      </c>
      <c r="I1" s="3" t="s">
        <v>9</v>
      </c>
      <c r="J1" s="4" t="s">
        <v>10</v>
      </c>
      <c r="K1" s="3" t="s">
        <v>11</v>
      </c>
      <c r="L1" s="3" t="s">
        <v>12</v>
      </c>
      <c r="M1" s="5" t="s">
        <v>13</v>
      </c>
      <c r="N1" s="5" t="s">
        <v>13</v>
      </c>
      <c r="O1" s="5" t="s">
        <v>13</v>
      </c>
      <c r="P1" s="5" t="s">
        <v>13</v>
      </c>
      <c r="Q1" s="5" t="s">
        <v>13</v>
      </c>
      <c r="R1" s="5" t="s">
        <v>13</v>
      </c>
      <c r="S1" s="5" t="s">
        <v>13</v>
      </c>
      <c r="T1" s="5" t="s">
        <v>13</v>
      </c>
      <c r="U1" s="5" t="s">
        <v>13</v>
      </c>
      <c r="V1" s="5" t="s">
        <v>13</v>
      </c>
      <c r="W1" s="5" t="s">
        <v>13</v>
      </c>
      <c r="X1" s="5" t="s">
        <v>13</v>
      </c>
      <c r="Y1" s="5" t="s">
        <v>13</v>
      </c>
      <c r="Z1" s="5" t="s">
        <v>13</v>
      </c>
      <c r="AA1" s="5" t="s">
        <v>13</v>
      </c>
      <c r="AB1" s="5" t="s">
        <v>13</v>
      </c>
      <c r="AC1" s="5" t="s">
        <v>13</v>
      </c>
      <c r="AD1" s="5" t="s">
        <v>13</v>
      </c>
      <c r="AE1" s="5" t="s">
        <v>13</v>
      </c>
    </row>
    <row r="2" hidden="1">
      <c r="A2" s="1" t="s">
        <v>14</v>
      </c>
      <c r="B2" s="1" t="s">
        <v>15</v>
      </c>
      <c r="C2" s="1" t="s">
        <v>16</v>
      </c>
      <c r="D2" s="1" t="s">
        <v>17</v>
      </c>
      <c r="E2" s="1" t="str">
        <f t="array" ref="E2">IFERROR(INDEX(Metadata!M:M, MATCH(C2,Metadata!A:A, 0)),"")</f>
        <v>NoCo</v>
      </c>
      <c r="F2" s="1" t="str">
        <f t="array" ref="F2">IFERROR(INDEX(Metadata!N:N, MATCH(D2,Metadata!B:B, 0)),"")</f>
        <v>GP 1</v>
      </c>
      <c r="G2" s="6">
        <v>45906.0</v>
      </c>
      <c r="H2" s="6">
        <v>45910.0</v>
      </c>
      <c r="I2" s="1" t="s">
        <v>18</v>
      </c>
      <c r="J2" s="1" t="str">
        <f t="array" ref="J2">IFERROR(INDEX(Metadata!O:O, MATCH(C2,Metadata!A:A, 0)),"")</f>
        <v>D3</v>
      </c>
    </row>
    <row r="3" hidden="1">
      <c r="A3" s="1" t="s">
        <v>19</v>
      </c>
      <c r="B3" s="1" t="s">
        <v>20</v>
      </c>
      <c r="C3" s="1" t="s">
        <v>21</v>
      </c>
      <c r="D3" s="1" t="s">
        <v>22</v>
      </c>
      <c r="E3" s="1" t="str">
        <f t="array" ref="E3">IFERROR(INDEX(Metadata!M:M, MATCH(C3,Metadata!A:A, 0)),"")</f>
        <v>Primary</v>
      </c>
      <c r="F3" s="1" t="str">
        <f t="array" ref="F3">IFERROR(INDEX(Metadata!N:N, MATCH(D3,Metadata!B:B, 0)),"")</f>
        <v>GP 2</v>
      </c>
      <c r="G3" s="6">
        <v>45902.0</v>
      </c>
      <c r="H3" s="6">
        <v>45947.0</v>
      </c>
      <c r="I3" s="1" t="s">
        <v>18</v>
      </c>
      <c r="J3" s="1" t="str">
        <f t="array" ref="J3">IFERROR(INDEX(Metadata!O:O, MATCH(C3,Metadata!A:A, 0)),"")</f>
        <v>D36</v>
      </c>
    </row>
    <row r="4" hidden="1">
      <c r="A4" s="1" t="s">
        <v>23</v>
      </c>
      <c r="B4" s="1" t="s">
        <v>24</v>
      </c>
      <c r="C4" s="1" t="s">
        <v>25</v>
      </c>
      <c r="D4" s="1" t="s">
        <v>26</v>
      </c>
      <c r="E4" s="1" t="str">
        <f t="array" ref="E4">IFERROR(INDEX(Metadata!M:M, MATCH(C4,Metadata!A:A, 0)),"")</f>
        <v>Dual</v>
      </c>
      <c r="F4" s="1" t="str">
        <f t="array" ref="F4">IFERROR(INDEX(Metadata!N:N, MATCH(D4,Metadata!B:B, 0)),"")</f>
        <v>GP 2</v>
      </c>
      <c r="G4" s="6">
        <v>45902.0</v>
      </c>
      <c r="H4" s="6">
        <v>45947.0</v>
      </c>
      <c r="I4" s="1" t="s">
        <v>18</v>
      </c>
      <c r="J4" s="1" t="str">
        <f t="array" ref="J4">IFERROR(INDEX(Metadata!O:O, MATCH(C4,Metadata!A:A, 0)),"")</f>
        <v>D36</v>
      </c>
    </row>
    <row r="5" hidden="1">
      <c r="A5" s="1" t="s">
        <v>27</v>
      </c>
      <c r="B5" s="1" t="s">
        <v>28</v>
      </c>
      <c r="C5" s="1" t="s">
        <v>29</v>
      </c>
      <c r="D5" s="1" t="s">
        <v>30</v>
      </c>
      <c r="E5" s="1" t="str">
        <f t="array" ref="E5">IFERROR(INDEX(Metadata!M:M, MATCH(C5,Metadata!A:A, 0)),"")</f>
        <v>SHAM</v>
      </c>
      <c r="F5" s="1" t="str">
        <f t="array" ref="F5">IFERROR(INDEX(Metadata!N:N, MATCH(D5,Metadata!B:B, 0)),"")</f>
        <v>GP 1</v>
      </c>
      <c r="G5" s="6">
        <v>45906.0</v>
      </c>
      <c r="H5" s="6">
        <v>45929.0</v>
      </c>
      <c r="I5" s="7" t="s">
        <v>31</v>
      </c>
      <c r="J5" s="1" t="str">
        <f t="array" ref="J5">IFERROR(INDEX(Metadata!O:O, MATCH(C5,Metadata!A:A, 0)),"")</f>
        <v>D36</v>
      </c>
    </row>
    <row r="6" hidden="1">
      <c r="A6" s="1">
        <v>2.00000081173241E14</v>
      </c>
      <c r="B6" s="1" t="s">
        <v>32</v>
      </c>
      <c r="C6" s="1" t="s">
        <v>33</v>
      </c>
      <c r="D6" s="1" t="s">
        <v>34</v>
      </c>
      <c r="E6" s="1" t="str">
        <f t="array" ref="E6">IFERROR(INDEX(Metadata!M:M, MATCH(C6,Metadata!A:A, 0)),"")</f>
        <v>Dual</v>
      </c>
      <c r="F6" s="1" t="str">
        <f t="array" ref="F6">IFERROR(INDEX(Metadata!N:N, MATCH(D6,Metadata!B:B, 0)),"")</f>
        <v>GP 1</v>
      </c>
      <c r="G6" s="6">
        <v>45902.0</v>
      </c>
      <c r="H6" s="6">
        <v>45929.0</v>
      </c>
      <c r="I6" s="1" t="s">
        <v>18</v>
      </c>
      <c r="J6" s="1" t="str">
        <f t="array" ref="J6">IFERROR(INDEX(Metadata!O:O, MATCH(C6,Metadata!A:A, 0)),"")</f>
        <v>D36</v>
      </c>
    </row>
    <row r="7" hidden="1">
      <c r="A7" s="1" t="s">
        <v>35</v>
      </c>
      <c r="B7" s="1" t="s">
        <v>36</v>
      </c>
      <c r="C7" s="1" t="s">
        <v>37</v>
      </c>
      <c r="D7" s="1" t="s">
        <v>38</v>
      </c>
      <c r="E7" s="1" t="str">
        <f t="array" ref="E7">IFERROR(INDEX(Metadata!M:M, MATCH(C7,Metadata!A:A, 0)),"")</f>
        <v>Secondary</v>
      </c>
      <c r="F7" s="1" t="str">
        <f t="array" ref="F7">IFERROR(INDEX(Metadata!N:N, MATCH(D7,Metadata!B:B, 0)),"")</f>
        <v>GP 2</v>
      </c>
      <c r="G7" s="6">
        <v>45902.0</v>
      </c>
      <c r="H7" s="6">
        <v>45938.0</v>
      </c>
      <c r="I7" s="1" t="s">
        <v>18</v>
      </c>
      <c r="J7" s="1" t="str">
        <f t="array" ref="J7">IFERROR(INDEX(Metadata!O:O, MATCH(C7,Metadata!A:A, 0)),"")</f>
        <v>D27</v>
      </c>
    </row>
    <row r="8" hidden="1">
      <c r="A8" s="1" t="s">
        <v>39</v>
      </c>
      <c r="B8" s="1" t="s">
        <v>40</v>
      </c>
      <c r="C8" s="1" t="s">
        <v>41</v>
      </c>
      <c r="D8" s="1" t="s">
        <v>42</v>
      </c>
      <c r="E8" s="1" t="str">
        <f t="array" ref="E8">IFERROR(INDEX(Metadata!M:M, MATCH(C8,Metadata!A:A, 0)),"")</f>
        <v>NoCo</v>
      </c>
      <c r="F8" s="1" t="str">
        <f t="array" ref="F8">IFERROR(INDEX(Metadata!N:N, MATCH(D8,Metadata!B:B, 0)),"")</f>
        <v>GP 2</v>
      </c>
      <c r="G8" s="6">
        <v>45909.0</v>
      </c>
      <c r="H8" s="6">
        <v>45916.0</v>
      </c>
      <c r="I8" s="1" t="s">
        <v>18</v>
      </c>
      <c r="J8" s="1" t="str">
        <f t="array" ref="J8">IFERROR(INDEX(Metadata!O:O, MATCH(C8,Metadata!A:A, 0)),"")</f>
        <v>D5</v>
      </c>
    </row>
    <row r="9" hidden="1">
      <c r="A9" s="1" t="s">
        <v>43</v>
      </c>
      <c r="B9" s="1" t="s">
        <v>44</v>
      </c>
      <c r="C9" s="1" t="s">
        <v>45</v>
      </c>
      <c r="D9" s="1" t="s">
        <v>46</v>
      </c>
      <c r="E9" s="1" t="str">
        <f t="array" ref="E9">IFERROR(INDEX(Metadata!M:M, MATCH(C9,Metadata!A:A, 0)),"")</f>
        <v>Dual</v>
      </c>
      <c r="F9" s="1" t="str">
        <f t="array" ref="F9">IFERROR(INDEX(Metadata!N:N, MATCH(D9,Metadata!B:B, 0)),"")</f>
        <v>GP 1</v>
      </c>
      <c r="G9" s="6">
        <v>45902.0</v>
      </c>
      <c r="H9" s="6">
        <v>45944.0</v>
      </c>
      <c r="I9" s="1" t="s">
        <v>18</v>
      </c>
      <c r="J9" s="1" t="str">
        <f t="array" ref="J9">IFERROR(INDEX(Metadata!O:O, MATCH(C9,Metadata!A:A, 0)),"")</f>
        <v>D36</v>
      </c>
    </row>
    <row r="10" hidden="1">
      <c r="A10" s="1" t="s">
        <v>47</v>
      </c>
      <c r="B10" s="1" t="s">
        <v>48</v>
      </c>
      <c r="C10" s="1" t="s">
        <v>49</v>
      </c>
      <c r="D10" s="1" t="s">
        <v>50</v>
      </c>
      <c r="E10" s="1" t="str">
        <f t="array" ref="E10">IFERROR(INDEX(Metadata!M:M, MATCH(C10,Metadata!A:A, 0)),"")</f>
        <v>NoCo</v>
      </c>
      <c r="F10" s="1" t="str">
        <f t="array" ref="F10">IFERROR(INDEX(Metadata!N:N, MATCH(D10,Metadata!B:B, 0)),"")</f>
        <v>GP 1</v>
      </c>
      <c r="G10" s="6">
        <v>45906.0</v>
      </c>
      <c r="H10" s="6">
        <v>45915.0</v>
      </c>
      <c r="I10" s="1" t="s">
        <v>51</v>
      </c>
      <c r="J10" s="1" t="str">
        <f t="array" ref="J10">IFERROR(INDEX(Metadata!O:O, MATCH(C10,Metadata!A:A, 0)),"")</f>
        <v>D6</v>
      </c>
    </row>
    <row r="11" hidden="1">
      <c r="A11" s="1" t="s">
        <v>52</v>
      </c>
      <c r="B11" s="1" t="s">
        <v>53</v>
      </c>
      <c r="C11" s="1" t="s">
        <v>54</v>
      </c>
      <c r="D11" s="1" t="s">
        <v>55</v>
      </c>
      <c r="E11" s="1" t="str">
        <f t="array" ref="E11">IFERROR(INDEX(Metadata!M:M, MATCH(C11,Metadata!A:A, 0)),"")</f>
        <v>SHAM</v>
      </c>
      <c r="F11" s="1" t="str">
        <f t="array" ref="F11">IFERROR(INDEX(Metadata!N:N, MATCH(D11,Metadata!B:B, 0)),"")</f>
        <v>GP 2</v>
      </c>
      <c r="G11" s="6">
        <v>45909.0</v>
      </c>
      <c r="H11" s="6">
        <v>45947.0</v>
      </c>
      <c r="I11" s="1" t="s">
        <v>18</v>
      </c>
      <c r="J11" s="1" t="str">
        <f t="array" ref="J11">IFERROR(INDEX(Metadata!O:O, MATCH(C11,Metadata!A:A, 0)),"")</f>
        <v>D36</v>
      </c>
      <c r="K11" s="1" t="s">
        <v>56</v>
      </c>
      <c r="L11" s="1" t="s">
        <v>57</v>
      </c>
    </row>
    <row r="12" hidden="1">
      <c r="A12" s="1" t="s">
        <v>58</v>
      </c>
      <c r="B12" s="1" t="s">
        <v>59</v>
      </c>
      <c r="C12" s="1" t="s">
        <v>60</v>
      </c>
      <c r="D12" s="1" t="s">
        <v>60</v>
      </c>
      <c r="E12" s="1" t="s">
        <v>60</v>
      </c>
      <c r="F12" s="1" t="s">
        <v>60</v>
      </c>
      <c r="G12" s="1" t="s">
        <v>60</v>
      </c>
      <c r="H12" s="1" t="s">
        <v>60</v>
      </c>
      <c r="I12" s="1" t="s">
        <v>61</v>
      </c>
      <c r="J12" s="1" t="s">
        <v>60</v>
      </c>
    </row>
    <row r="13" hidden="1">
      <c r="A13" s="1" t="s">
        <v>62</v>
      </c>
      <c r="B13" s="1" t="s">
        <v>63</v>
      </c>
      <c r="C13" s="1" t="s">
        <v>64</v>
      </c>
      <c r="D13" s="1" t="s">
        <v>65</v>
      </c>
      <c r="E13" s="1" t="str">
        <f t="array" ref="E13">IFERROR(INDEX(Metadata!M:M, MATCH(C13,Metadata!A:A, 0)),"")</f>
        <v>SHAM</v>
      </c>
      <c r="F13" s="1" t="str">
        <f t="array" ref="F13">IFERROR(INDEX(Metadata!N:N, MATCH(D13,Metadata!B:B, 0)),"")</f>
        <v>GP 2</v>
      </c>
      <c r="G13" s="6">
        <v>45909.0</v>
      </c>
      <c r="H13" s="6">
        <v>45947.0</v>
      </c>
      <c r="I13" s="1" t="s">
        <v>18</v>
      </c>
      <c r="J13" s="1" t="str">
        <f t="array" ref="J13">IFERROR(INDEX(Metadata!O:O, MATCH(C13,Metadata!A:A, 0)),"")</f>
        <v>D36</v>
      </c>
    </row>
    <row r="14" hidden="1">
      <c r="A14" s="1" t="s">
        <v>66</v>
      </c>
      <c r="B14" s="1" t="s">
        <v>67</v>
      </c>
      <c r="C14" s="1" t="s">
        <v>68</v>
      </c>
      <c r="D14" s="1" t="s">
        <v>69</v>
      </c>
      <c r="E14" s="1" t="str">
        <f t="array" ref="E14">IFERROR(INDEX(Metadata!M:M, MATCH(C14,Metadata!A:A, 0)),"")</f>
        <v>Secondary</v>
      </c>
      <c r="F14" s="1" t="str">
        <f t="array" ref="F14">IFERROR(INDEX(Metadata!N:N, MATCH(D14,Metadata!B:B, 0)),"")</f>
        <v>GP 1</v>
      </c>
      <c r="G14" s="6">
        <v>45902.0</v>
      </c>
      <c r="H14" s="6">
        <v>45944.0</v>
      </c>
      <c r="I14" s="1" t="s">
        <v>18</v>
      </c>
      <c r="J14" s="1" t="str">
        <f t="array" ref="J14">IFERROR(INDEX(Metadata!O:O, MATCH(C14,Metadata!A:A, 0)),"")</f>
        <v>D36</v>
      </c>
    </row>
    <row r="15" hidden="1">
      <c r="A15" s="1" t="s">
        <v>70</v>
      </c>
      <c r="B15" s="1" t="s">
        <v>71</v>
      </c>
      <c r="C15" s="1" t="s">
        <v>72</v>
      </c>
      <c r="D15" s="1" t="s">
        <v>73</v>
      </c>
      <c r="E15" s="1" t="str">
        <f t="array" ref="E15">IFERROR(INDEX(Metadata!M:M, MATCH(C15,Metadata!A:A, 0)),"")</f>
        <v>Secondary</v>
      </c>
      <c r="F15" s="1" t="str">
        <f t="array" ref="F15">IFERROR(INDEX(Metadata!N:N, MATCH(D15,Metadata!B:B, 0)),"")</f>
        <v>GP 1</v>
      </c>
      <c r="G15" s="6">
        <v>45902.0</v>
      </c>
      <c r="H15" s="6">
        <v>45911.0</v>
      </c>
      <c r="I15" s="1" t="s">
        <v>51</v>
      </c>
      <c r="J15" s="1" t="str">
        <f t="array" ref="J15">IFERROR(INDEX(Metadata!O:O, MATCH(C15,Metadata!A:A, 0)),"")</f>
        <v>D3</v>
      </c>
    </row>
    <row r="16" hidden="1">
      <c r="A16" s="1" t="s">
        <v>74</v>
      </c>
      <c r="B16" s="1" t="s">
        <v>75</v>
      </c>
      <c r="C16" s="1" t="s">
        <v>76</v>
      </c>
      <c r="D16" s="1" t="s">
        <v>77</v>
      </c>
      <c r="E16" s="1" t="str">
        <f t="array" ref="E16">IFERROR(INDEX(Metadata!M:M, MATCH(C16,Metadata!A:A, 0)),"")</f>
        <v>SHAM</v>
      </c>
      <c r="F16" s="1" t="str">
        <f t="array" ref="F16">IFERROR(INDEX(Metadata!N:N, MATCH(D16,Metadata!B:B, 0)),"")</f>
        <v>GP 1</v>
      </c>
      <c r="G16" s="6">
        <v>45906.0</v>
      </c>
      <c r="H16" s="6">
        <v>45909.0</v>
      </c>
      <c r="I16" s="1" t="s">
        <v>18</v>
      </c>
      <c r="J16" s="1" t="str">
        <f t="array" ref="J16">IFERROR(INDEX(Metadata!O:O, MATCH(C16,Metadata!A:A, 0)),"")</f>
        <v>D1</v>
      </c>
    </row>
    <row r="17">
      <c r="A17" s="1" t="s">
        <v>78</v>
      </c>
      <c r="B17" s="1" t="s">
        <v>79</v>
      </c>
      <c r="C17" s="1" t="s">
        <v>80</v>
      </c>
      <c r="D17" s="1" t="s">
        <v>81</v>
      </c>
      <c r="E17" s="1" t="str">
        <f t="array" ref="E17">IFERROR(INDEX(Metadata!M:M, MATCH(C17,Metadata!A:A, 0)),"")</f>
        <v>NoCo</v>
      </c>
      <c r="F17" s="1" t="str">
        <f t="array" ref="F17">IFERROR(INDEX(Metadata!N:N, MATCH(D17,Metadata!B:B, 0)),"")</f>
        <v>GP 1</v>
      </c>
      <c r="G17" s="6">
        <v>45906.0</v>
      </c>
      <c r="H17" s="6">
        <v>45929.0</v>
      </c>
      <c r="I17" s="1" t="s">
        <v>18</v>
      </c>
      <c r="J17" s="1" t="str">
        <f t="array" ref="J17">IFERROR(INDEX(Metadata!O:O, MATCH(C17,Metadata!A:A, 0)),"")</f>
        <v>D36</v>
      </c>
    </row>
    <row r="18" hidden="1">
      <c r="A18" s="1" t="s">
        <v>82</v>
      </c>
      <c r="B18" s="1" t="s">
        <v>83</v>
      </c>
      <c r="C18" s="1" t="s">
        <v>84</v>
      </c>
      <c r="D18" s="1" t="s">
        <v>85</v>
      </c>
      <c r="E18" s="1" t="str">
        <f t="array" ref="E18">IFERROR(INDEX(Metadata!M:M, MATCH(C18,Metadata!A:A, 0)),"")</f>
        <v>SHAM</v>
      </c>
      <c r="F18" s="1" t="str">
        <f t="array" ref="F18">IFERROR(INDEX(Metadata!N:N, MATCH(D18,Metadata!B:B, 0)),"")</f>
        <v>GP 2</v>
      </c>
      <c r="G18" s="6">
        <v>45909.0</v>
      </c>
      <c r="H18" s="6">
        <v>45947.0</v>
      </c>
      <c r="I18" s="1" t="s">
        <v>18</v>
      </c>
      <c r="J18" s="1" t="str">
        <f t="array" ref="J18">IFERROR(INDEX(Metadata!O:O, MATCH(C18,Metadata!A:A, 0)),"")</f>
        <v>D36</v>
      </c>
    </row>
    <row r="19" hidden="1">
      <c r="A19" s="1" t="s">
        <v>86</v>
      </c>
      <c r="B19" s="1" t="s">
        <v>87</v>
      </c>
      <c r="C19" s="1" t="s">
        <v>88</v>
      </c>
      <c r="D19" s="1" t="s">
        <v>89</v>
      </c>
      <c r="E19" s="1" t="str">
        <f t="array" ref="E19">IFERROR(INDEX(Metadata!M:M, MATCH(C19,Metadata!A:A, 0)),"")</f>
        <v>Dual</v>
      </c>
      <c r="F19" s="1" t="str">
        <f t="array" ref="F19">IFERROR(INDEX(Metadata!N:N, MATCH(D19,Metadata!B:B, 0)),"")</f>
        <v>GP 2</v>
      </c>
      <c r="G19" s="6">
        <v>45932.0</v>
      </c>
      <c r="H19" s="6">
        <v>45947.0</v>
      </c>
      <c r="I19" s="1" t="s">
        <v>18</v>
      </c>
      <c r="J19" s="1" t="str">
        <f t="array" ref="J19">IFERROR(INDEX(Metadata!O:O, MATCH(C19,Metadata!A:A, 0)),"")</f>
        <v>D36</v>
      </c>
    </row>
    <row r="20" hidden="1">
      <c r="A20" s="1" t="s">
        <v>90</v>
      </c>
      <c r="B20" s="1" t="s">
        <v>91</v>
      </c>
      <c r="C20" s="1" t="s">
        <v>92</v>
      </c>
      <c r="D20" s="1" t="s">
        <v>93</v>
      </c>
      <c r="E20" s="1" t="str">
        <f t="array" ref="E20">IFERROR(INDEX(Metadata!M:M, MATCH(C20,Metadata!A:A, 0)),"")</f>
        <v>Primary</v>
      </c>
      <c r="F20" s="1" t="str">
        <f t="array" ref="F20">IFERROR(INDEX(Metadata!N:N, MATCH(D20,Metadata!B:B, 0)),"")</f>
        <v>GP 1</v>
      </c>
      <c r="G20" s="6">
        <v>45902.0</v>
      </c>
      <c r="H20" s="6">
        <v>45944.0</v>
      </c>
      <c r="I20" s="1" t="s">
        <v>18</v>
      </c>
      <c r="J20" s="1" t="str">
        <f t="array" ref="J20">IFERROR(INDEX(Metadata!O:O, MATCH(C20,Metadata!A:A, 0)),"")</f>
        <v>D36</v>
      </c>
    </row>
    <row r="21">
      <c r="A21" s="1" t="s">
        <v>94</v>
      </c>
      <c r="B21" s="1" t="s">
        <v>95</v>
      </c>
      <c r="C21" s="1" t="s">
        <v>96</v>
      </c>
      <c r="D21" s="1" t="s">
        <v>97</v>
      </c>
      <c r="E21" s="1" t="str">
        <f t="array" ref="E21">IFERROR(INDEX(Metadata!M:M, MATCH(C21,Metadata!A:A, 0)),"")</f>
        <v>NoCo</v>
      </c>
      <c r="F21" s="1" t="str">
        <f t="array" ref="F21">IFERROR(INDEX(Metadata!N:N, MATCH(D21,Metadata!B:B, 0)),"")</f>
        <v>GP 2</v>
      </c>
      <c r="G21" s="6">
        <v>45909.0</v>
      </c>
      <c r="H21" s="6">
        <v>45932.0</v>
      </c>
      <c r="I21" s="7" t="s">
        <v>31</v>
      </c>
      <c r="J21" s="1" t="str">
        <f t="array" ref="J21">IFERROR(INDEX(Metadata!O:O, MATCH(C21,Metadata!A:A, 0)),"")</f>
        <v>D36</v>
      </c>
    </row>
    <row r="22">
      <c r="A22" s="1" t="s">
        <v>98</v>
      </c>
      <c r="B22" s="1" t="s">
        <v>99</v>
      </c>
      <c r="C22" s="1" t="s">
        <v>100</v>
      </c>
      <c r="D22" s="1" t="s">
        <v>101</v>
      </c>
      <c r="E22" s="1" t="str">
        <f t="array" ref="E22">IFERROR(INDEX(Metadata!M:M, MATCH(C22,Metadata!A:A, 0)),"")</f>
        <v>NoCo</v>
      </c>
      <c r="F22" s="1" t="str">
        <f t="array" ref="F22">IFERROR(INDEX(Metadata!N:N, MATCH(D22,Metadata!B:B, 0)),"")</f>
        <v>GP 2</v>
      </c>
      <c r="G22" s="6">
        <v>45909.0</v>
      </c>
      <c r="H22" s="6">
        <v>45947.0</v>
      </c>
      <c r="I22" s="1" t="s">
        <v>18</v>
      </c>
      <c r="J22" s="1" t="str">
        <f t="array" ref="J22">IFERROR(INDEX(Metadata!O:O, MATCH(C22,Metadata!A:A, 0)),"")</f>
        <v>D36</v>
      </c>
      <c r="K22" s="1" t="s">
        <v>102</v>
      </c>
      <c r="L22" s="1" t="s">
        <v>103</v>
      </c>
    </row>
    <row r="23" hidden="1">
      <c r="A23" s="1" t="s">
        <v>104</v>
      </c>
      <c r="B23" s="1" t="s">
        <v>105</v>
      </c>
      <c r="C23" s="1" t="s">
        <v>106</v>
      </c>
      <c r="D23" s="1" t="s">
        <v>107</v>
      </c>
      <c r="E23" s="1" t="str">
        <f t="array" ref="E23">IFERROR(INDEX(Metadata!M:M, MATCH(C23,Metadata!A:A, 0)),"")</f>
        <v>Primary</v>
      </c>
      <c r="F23" s="1" t="str">
        <f t="array" ref="F23">IFERROR(INDEX(Metadata!N:N, MATCH(D23,Metadata!B:B, 0)),"")</f>
        <v>GP 2</v>
      </c>
      <c r="G23" s="6">
        <v>45932.0</v>
      </c>
      <c r="H23" s="6">
        <v>45947.0</v>
      </c>
      <c r="I23" s="1" t="s">
        <v>18</v>
      </c>
      <c r="J23" s="1" t="str">
        <f t="array" ref="J23">IFERROR(INDEX(Metadata!O:O, MATCH(C23,Metadata!A:A, 0)),"")</f>
        <v>D36</v>
      </c>
    </row>
    <row r="24" hidden="1">
      <c r="A24" s="1" t="s">
        <v>108</v>
      </c>
      <c r="B24" s="1" t="s">
        <v>109</v>
      </c>
      <c r="C24" s="1" t="s">
        <v>110</v>
      </c>
      <c r="D24" s="1" t="s">
        <v>111</v>
      </c>
      <c r="E24" s="1" t="str">
        <f t="array" ref="E24">IFERROR(INDEX(Metadata!M:M, MATCH(C24,Metadata!A:A, 0)),"")</f>
        <v>Primary</v>
      </c>
      <c r="F24" s="1" t="str">
        <f t="array" ref="F24">IFERROR(INDEX(Metadata!N:N, MATCH(D24,Metadata!B:B, 0)),"")</f>
        <v>GP 1</v>
      </c>
      <c r="G24" s="6">
        <v>45902.0</v>
      </c>
      <c r="H24" s="6">
        <v>45944.0</v>
      </c>
      <c r="I24" s="1" t="s">
        <v>18</v>
      </c>
      <c r="J24" s="1" t="str">
        <f t="array" ref="J24">IFERROR(INDEX(Metadata!O:O, MATCH(C24,Metadata!A:A, 0)),"")</f>
        <v>D36</v>
      </c>
    </row>
    <row r="25" hidden="1">
      <c r="A25" s="1" t="s">
        <v>112</v>
      </c>
      <c r="B25" s="1" t="s">
        <v>113</v>
      </c>
      <c r="C25" s="1" t="s">
        <v>114</v>
      </c>
      <c r="D25" s="1" t="s">
        <v>115</v>
      </c>
      <c r="E25" s="1" t="str">
        <f t="array" ref="E25">IFERROR(INDEX(Metadata!M:M, MATCH(C25,Metadata!A:A, 0)),"")</f>
        <v>Primary</v>
      </c>
      <c r="F25" s="1" t="str">
        <f t="array" ref="F25">IFERROR(INDEX(Metadata!N:N, MATCH(D25,Metadata!B:B, 0)),"")</f>
        <v>GP 2</v>
      </c>
      <c r="G25" s="6">
        <v>45902.0</v>
      </c>
      <c r="H25" s="6">
        <v>45932.0</v>
      </c>
      <c r="I25" s="1" t="s">
        <v>51</v>
      </c>
      <c r="J25" s="1" t="str">
        <f t="array" ref="J25">IFERROR(INDEX(Metadata!O:O, MATCH(C25,Metadata!A:A, 0)),"")</f>
        <v>D36</v>
      </c>
    </row>
    <row r="26" hidden="1">
      <c r="A26" s="1" t="s">
        <v>116</v>
      </c>
      <c r="B26" s="1" t="s">
        <v>117</v>
      </c>
      <c r="C26" s="1" t="s">
        <v>118</v>
      </c>
      <c r="D26" s="1" t="s">
        <v>119</v>
      </c>
      <c r="E26" s="1" t="str">
        <f t="array" ref="E26">IFERROR(INDEX(Metadata!M:M, MATCH(C26,Metadata!A:A, 0)),"")</f>
        <v>Dual</v>
      </c>
      <c r="F26" s="1" t="str">
        <f t="array" ref="F26">IFERROR(INDEX(Metadata!N:N, MATCH(D26,Metadata!B:B, 0)),"")</f>
        <v>GP 2</v>
      </c>
      <c r="G26" s="6">
        <v>45902.0</v>
      </c>
      <c r="H26" s="6">
        <v>45932.0</v>
      </c>
      <c r="I26" s="1" t="s">
        <v>18</v>
      </c>
      <c r="J26" s="1" t="str">
        <f t="array" ref="J26">IFERROR(INDEX(Metadata!O:O, MATCH(C26,Metadata!A:A, 0)),"")</f>
        <v>D21</v>
      </c>
    </row>
    <row r="27" hidden="1">
      <c r="A27" s="1" t="s">
        <v>120</v>
      </c>
      <c r="B27" s="1" t="s">
        <v>121</v>
      </c>
      <c r="C27" s="1" t="s">
        <v>122</v>
      </c>
      <c r="D27" s="1" t="s">
        <v>123</v>
      </c>
      <c r="E27" s="1" t="str">
        <f t="array" ref="E27">IFERROR(INDEX(Metadata!M:M, MATCH(C27,Metadata!A:A, 0)),"")</f>
        <v>Primary</v>
      </c>
      <c r="F27" s="1" t="str">
        <f t="array" ref="F27">IFERROR(INDEX(Metadata!N:N, MATCH(D27,Metadata!B:B, 0)),"")</f>
        <v>GP 1</v>
      </c>
      <c r="G27" s="6">
        <v>45902.0</v>
      </c>
      <c r="H27" s="6">
        <v>45913.0</v>
      </c>
      <c r="I27" s="1" t="s">
        <v>18</v>
      </c>
      <c r="J27" s="1" t="str">
        <f t="array" ref="J27">IFERROR(INDEX(Metadata!O:O, MATCH(C27,Metadata!A:A, 0)),"")</f>
        <v>D5</v>
      </c>
    </row>
    <row r="28">
      <c r="A28" s="1" t="s">
        <v>124</v>
      </c>
      <c r="B28" s="1" t="s">
        <v>125</v>
      </c>
      <c r="C28" s="1" t="s">
        <v>126</v>
      </c>
      <c r="D28" s="1" t="s">
        <v>50</v>
      </c>
      <c r="E28" s="1" t="str">
        <f t="array" ref="E28">IFERROR(INDEX(Metadata!M:M, MATCH(C28,Metadata!A:A, 0)),"")</f>
        <v>NoCo</v>
      </c>
      <c r="F28" s="1" t="str">
        <f t="array" ref="F28">IFERROR(INDEX(Metadata!N:N, MATCH(D28,Metadata!B:B, 0)),"")</f>
        <v>GP 1</v>
      </c>
      <c r="G28" s="6">
        <v>45906.0</v>
      </c>
      <c r="H28" s="6">
        <v>45944.0</v>
      </c>
      <c r="I28" s="1" t="s">
        <v>18</v>
      </c>
      <c r="J28" s="1" t="str">
        <f t="array" ref="J28">IFERROR(INDEX(Metadata!O:O, MATCH(C28,Metadata!A:A, 0)),"")</f>
        <v>D36</v>
      </c>
    </row>
    <row r="29" hidden="1">
      <c r="A29" s="1" t="s">
        <v>127</v>
      </c>
      <c r="B29" s="1" t="s">
        <v>128</v>
      </c>
      <c r="C29" s="1" t="s">
        <v>129</v>
      </c>
      <c r="D29" s="1" t="s">
        <v>130</v>
      </c>
      <c r="E29" s="1" t="str">
        <f t="array" ref="E29">IFERROR(INDEX(Metadata!M:M, MATCH(C29,Metadata!A:A, 0)),"")</f>
        <v>Secondary</v>
      </c>
      <c r="F29" s="1" t="str">
        <f t="array" ref="F29">IFERROR(INDEX(Metadata!N:N, MATCH(D29,Metadata!B:B, 0)),"")</f>
        <v>GP 2</v>
      </c>
      <c r="G29" s="6">
        <v>45902.0</v>
      </c>
      <c r="H29" s="6">
        <v>45947.0</v>
      </c>
      <c r="I29" s="1" t="s">
        <v>51</v>
      </c>
      <c r="J29" s="1" t="str">
        <f t="array" ref="J29">IFERROR(INDEX(Metadata!O:O, MATCH(C29,Metadata!A:A, 0)),"")</f>
        <v>D36</v>
      </c>
    </row>
    <row r="30" hidden="1">
      <c r="A30" s="1" t="s">
        <v>131</v>
      </c>
      <c r="B30" s="1" t="s">
        <v>132</v>
      </c>
      <c r="C30" s="1" t="s">
        <v>133</v>
      </c>
      <c r="D30" s="1" t="s">
        <v>134</v>
      </c>
      <c r="E30" s="1" t="str">
        <f t="array" ref="E30">IFERROR(INDEX(Metadata!M:M, MATCH(C30,Metadata!A:A, 0)),"")</f>
        <v>Secondary</v>
      </c>
      <c r="F30" s="1" t="str">
        <f t="array" ref="F30">IFERROR(INDEX(Metadata!N:N, MATCH(D30,Metadata!B:B, 0)),"")</f>
        <v>GP 2</v>
      </c>
      <c r="G30" s="6">
        <v>45902.0</v>
      </c>
      <c r="H30" s="6">
        <v>45947.0</v>
      </c>
      <c r="I30" s="1" t="s">
        <v>18</v>
      </c>
      <c r="J30" s="1" t="str">
        <f t="array" ref="J30">IFERROR(INDEX(Metadata!O:O, MATCH(C30,Metadata!A:A, 0)),"")</f>
        <v>D36</v>
      </c>
    </row>
    <row r="31" hidden="1">
      <c r="A31" s="1" t="s">
        <v>135</v>
      </c>
      <c r="B31" s="1" t="s">
        <v>136</v>
      </c>
      <c r="C31" s="1" t="s">
        <v>137</v>
      </c>
      <c r="D31" s="1" t="s">
        <v>138</v>
      </c>
      <c r="E31" s="1" t="str">
        <f t="array" ref="E31">IFERROR(INDEX(Metadata!M:M, MATCH(C31,Metadata!A:A, 0)),"")</f>
        <v>SHAM</v>
      </c>
      <c r="F31" s="1" t="str">
        <f t="array" ref="F31">IFERROR(INDEX(Metadata!N:N, MATCH(D31,Metadata!B:B, 0)),"")</f>
        <v>GP 2</v>
      </c>
      <c r="G31" s="6">
        <v>45909.0</v>
      </c>
      <c r="H31" s="6">
        <v>45934.0</v>
      </c>
      <c r="I31" s="1" t="s">
        <v>18</v>
      </c>
      <c r="J31" s="1" t="str">
        <f t="array" ref="J31">IFERROR(INDEX(Metadata!O:O, MATCH(C31,Metadata!A:A, 0)),"")</f>
        <v>D23</v>
      </c>
    </row>
    <row r="32" hidden="1">
      <c r="A32" s="1" t="s">
        <v>139</v>
      </c>
      <c r="B32" s="1" t="s">
        <v>140</v>
      </c>
      <c r="C32" s="1" t="s">
        <v>141</v>
      </c>
      <c r="D32" s="1" t="s">
        <v>142</v>
      </c>
      <c r="E32" s="1" t="str">
        <f t="array" ref="E32">IFERROR(INDEX(Metadata!M:M, MATCH(C32,Metadata!A:A, 0)),"")</f>
        <v>SHAM</v>
      </c>
      <c r="F32" s="1" t="str">
        <f t="array" ref="F32">IFERROR(INDEX(Metadata!N:N, MATCH(D32,Metadata!B:B, 0)),"")</f>
        <v>GP 1</v>
      </c>
      <c r="G32" s="6">
        <v>45906.0</v>
      </c>
      <c r="H32" s="6">
        <v>45909.0</v>
      </c>
      <c r="I32" s="1" t="s">
        <v>18</v>
      </c>
      <c r="J32" s="1" t="str">
        <f t="array" ref="J32">IFERROR(INDEX(Metadata!O:O, MATCH(C32,Metadata!A:A, 0)),"")</f>
        <v>D1</v>
      </c>
    </row>
    <row r="33" hidden="1">
      <c r="A33" s="1" t="s">
        <v>143</v>
      </c>
      <c r="B33" s="1" t="s">
        <v>144</v>
      </c>
      <c r="C33" s="1" t="s">
        <v>145</v>
      </c>
      <c r="D33" s="1" t="s">
        <v>146</v>
      </c>
      <c r="E33" s="1" t="str">
        <f t="array" ref="E33">IFERROR(INDEX(Metadata!M:M, MATCH(C33,Metadata!A:A, 0)),"")</f>
        <v>Secondary</v>
      </c>
      <c r="F33" s="1" t="str">
        <f t="array" ref="F33">IFERROR(INDEX(Metadata!N:N, MATCH(D33,Metadata!B:B, 0)),"")</f>
        <v>GP 1</v>
      </c>
      <c r="G33" s="6">
        <v>45902.0</v>
      </c>
      <c r="H33" s="6">
        <v>45929.0</v>
      </c>
      <c r="I33" s="1" t="s">
        <v>18</v>
      </c>
      <c r="J33" s="1" t="str">
        <f t="array" ref="J33">IFERROR(INDEX(Metadata!O:O, MATCH(C33,Metadata!A:A, 0)),"")</f>
        <v>D36</v>
      </c>
    </row>
    <row r="34" hidden="1">
      <c r="A34" s="1" t="s">
        <v>147</v>
      </c>
      <c r="B34" s="1" t="s">
        <v>148</v>
      </c>
      <c r="C34" s="1" t="s">
        <v>149</v>
      </c>
      <c r="D34" s="1" t="s">
        <v>150</v>
      </c>
      <c r="E34" s="1" t="str">
        <f t="array" ref="E34">IFERROR(INDEX(Metadata!M:M, MATCH(C34,Metadata!A:A, 0)),"")</f>
        <v>SHAM</v>
      </c>
      <c r="F34" s="1" t="str">
        <f t="array" ref="F34">IFERROR(INDEX(Metadata!N:N, MATCH(D34,Metadata!B:B, 0)),"")</f>
        <v>GP 2</v>
      </c>
      <c r="G34" s="6">
        <v>45932.0</v>
      </c>
      <c r="H34" s="6">
        <v>45947.0</v>
      </c>
      <c r="I34" s="1" t="s">
        <v>18</v>
      </c>
      <c r="J34" s="1" t="str">
        <f t="array" ref="J34">IFERROR(INDEX(Metadata!O:O, MATCH(C34,Metadata!A:A, 0)),"")</f>
        <v>D36</v>
      </c>
    </row>
    <row r="35" hidden="1">
      <c r="A35" s="1" t="s">
        <v>151</v>
      </c>
      <c r="B35" s="1" t="s">
        <v>152</v>
      </c>
      <c r="C35" s="1" t="s">
        <v>149</v>
      </c>
      <c r="D35" s="1" t="s">
        <v>150</v>
      </c>
      <c r="E35" s="1" t="str">
        <f t="array" ref="E35">IFERROR(INDEX(Metadata!M:M, MATCH(C35,Metadata!A:A, 0)),"")</f>
        <v>SHAM</v>
      </c>
      <c r="F35" s="1" t="str">
        <f t="array" ref="F35">IFERROR(INDEX(Metadata!N:N, MATCH(D35,Metadata!B:B, 0)),"")</f>
        <v>GP 2</v>
      </c>
      <c r="G35" s="6">
        <v>45909.0</v>
      </c>
      <c r="H35" s="6">
        <v>45932.0</v>
      </c>
      <c r="I35" s="1" t="s">
        <v>18</v>
      </c>
      <c r="J35" s="1" t="str">
        <f t="array" ref="J35">IFERROR(INDEX(Metadata!O:O, MATCH(C35,Metadata!A:A, 0)),"")</f>
        <v>D36</v>
      </c>
      <c r="K35" s="1" t="s">
        <v>102</v>
      </c>
    </row>
    <row r="36" hidden="1">
      <c r="A36" s="1" t="s">
        <v>153</v>
      </c>
      <c r="B36" s="1" t="s">
        <v>154</v>
      </c>
      <c r="C36" s="1" t="s">
        <v>155</v>
      </c>
      <c r="D36" s="1" t="s">
        <v>156</v>
      </c>
      <c r="E36" s="1" t="str">
        <f t="array" ref="E36">IFERROR(INDEX(Metadata!M:M, MATCH(C36,Metadata!A:A, 0)),"")</f>
        <v>SHAM</v>
      </c>
      <c r="F36" s="1" t="str">
        <f t="array" ref="F36">IFERROR(INDEX(Metadata!N:N, MATCH(D36,Metadata!B:B, 0)),"")</f>
        <v>GP 2</v>
      </c>
      <c r="G36" s="6">
        <v>45909.0</v>
      </c>
      <c r="H36" s="6">
        <v>45947.0</v>
      </c>
      <c r="I36" s="1" t="s">
        <v>18</v>
      </c>
      <c r="J36" s="1" t="str">
        <f t="array" ref="J36">IFERROR(INDEX(Metadata!O:O, MATCH(C36,Metadata!A:A, 0)),"")</f>
        <v>D36</v>
      </c>
    </row>
    <row r="37" hidden="1">
      <c r="A37" s="1" t="s">
        <v>157</v>
      </c>
      <c r="B37" s="1" t="s">
        <v>158</v>
      </c>
      <c r="C37" s="1" t="s">
        <v>159</v>
      </c>
      <c r="D37" s="1" t="s">
        <v>160</v>
      </c>
      <c r="E37" s="1" t="str">
        <f t="array" ref="E37">IFERROR(INDEX(Metadata!M:M, MATCH(C37,Metadata!A:A, 0)),"")</f>
        <v>Secondary</v>
      </c>
      <c r="F37" s="1" t="str">
        <f t="array" ref="F37">IFERROR(INDEX(Metadata!N:N, MATCH(D37,Metadata!B:B, 0)),"")</f>
        <v>GP 2</v>
      </c>
      <c r="G37" s="6">
        <v>45902.0</v>
      </c>
      <c r="H37" s="6">
        <v>45932.0</v>
      </c>
      <c r="I37" s="7" t="s">
        <v>31</v>
      </c>
      <c r="J37" s="1" t="str">
        <f t="array" ref="J37">IFERROR(INDEX(Metadata!O:O, MATCH(C37,Metadata!A:A, 0)),"")</f>
        <v>D36</v>
      </c>
    </row>
    <row r="38" hidden="1">
      <c r="A38" s="1" t="s">
        <v>161</v>
      </c>
      <c r="B38" s="1" t="s">
        <v>162</v>
      </c>
      <c r="C38" s="1" t="s">
        <v>163</v>
      </c>
      <c r="D38" s="1" t="s">
        <v>164</v>
      </c>
      <c r="E38" s="1" t="str">
        <f t="array" ref="E38">IFERROR(INDEX(Metadata!M:M, MATCH(C38,Metadata!A:A, 0)),"")</f>
        <v>Dual</v>
      </c>
      <c r="F38" s="1" t="str">
        <f t="array" ref="F38">IFERROR(INDEX(Metadata!N:N, MATCH(D38,Metadata!B:B, 0)),"")</f>
        <v>GP 1</v>
      </c>
      <c r="G38" s="6">
        <v>45902.0</v>
      </c>
      <c r="H38" s="6">
        <v>45912.0</v>
      </c>
      <c r="I38" s="1" t="s">
        <v>18</v>
      </c>
      <c r="J38" s="1" t="str">
        <f t="array" ref="J38">IFERROR(INDEX(Metadata!O:O, MATCH(C38,Metadata!A:A, 0)),"")</f>
        <v>D4</v>
      </c>
    </row>
    <row r="39" hidden="1">
      <c r="A39" s="1" t="s">
        <v>165</v>
      </c>
      <c r="B39" s="1" t="s">
        <v>166</v>
      </c>
      <c r="C39" s="1" t="s">
        <v>167</v>
      </c>
      <c r="D39" s="1" t="s">
        <v>168</v>
      </c>
      <c r="E39" s="1" t="str">
        <f t="array" ref="E39">IFERROR(INDEX(Metadata!M:M, MATCH(C39,Metadata!A:A, 0)),"")</f>
        <v>Primary</v>
      </c>
      <c r="F39" s="1" t="str">
        <f t="array" ref="F39">IFERROR(INDEX(Metadata!N:N, MATCH(D39,Metadata!B:B, 0)),"")</f>
        <v>GP 1</v>
      </c>
      <c r="G39" s="6">
        <v>45902.0</v>
      </c>
      <c r="H39" s="6">
        <v>45944.0</v>
      </c>
      <c r="I39" s="1" t="s">
        <v>51</v>
      </c>
      <c r="J39" s="1" t="str">
        <f t="array" ref="J39">IFERROR(INDEX(Metadata!O:O, MATCH(C39,Metadata!A:A, 0)),"")</f>
        <v>D36</v>
      </c>
    </row>
    <row r="40" hidden="1">
      <c r="A40" s="1" t="s">
        <v>169</v>
      </c>
      <c r="B40" s="1" t="s">
        <v>170</v>
      </c>
      <c r="C40" s="1" t="s">
        <v>171</v>
      </c>
      <c r="D40" s="1" t="s">
        <v>172</v>
      </c>
      <c r="E40" s="1" t="str">
        <f t="array" ref="E40">IFERROR(INDEX(Metadata!M:M, MATCH(C40,Metadata!A:A, 0)),"")</f>
        <v>Secondary</v>
      </c>
      <c r="F40" s="1" t="str">
        <f t="array" ref="F40">IFERROR(INDEX(Metadata!N:N, MATCH(D40,Metadata!B:B, 0)),"")</f>
        <v>GP 1</v>
      </c>
      <c r="G40" s="6">
        <v>45902.0</v>
      </c>
      <c r="H40" s="6">
        <v>45913.0</v>
      </c>
      <c r="I40" s="1" t="s">
        <v>18</v>
      </c>
      <c r="J40" s="1" t="str">
        <f t="array" ref="J40">IFERROR(INDEX(Metadata!O:O, MATCH(C40,Metadata!A:A, 0)),"")</f>
        <v>D5</v>
      </c>
    </row>
    <row r="41">
      <c r="A41" s="1" t="s">
        <v>173</v>
      </c>
      <c r="B41" s="1" t="s">
        <v>174</v>
      </c>
      <c r="C41" s="1" t="s">
        <v>175</v>
      </c>
      <c r="D41" s="1" t="s">
        <v>176</v>
      </c>
      <c r="E41" s="1" t="str">
        <f t="array" ref="E41">IFERROR(INDEX(Metadata!M:M, MATCH(C41,Metadata!A:A, 0)),"")</f>
        <v>NoCo</v>
      </c>
      <c r="F41" s="1" t="str">
        <f t="array" ref="F41">IFERROR(INDEX(Metadata!N:N, MATCH(D41,Metadata!B:B, 0)),"")</f>
        <v>GP 2</v>
      </c>
      <c r="G41" s="6">
        <v>45909.0</v>
      </c>
      <c r="H41" s="6">
        <v>45947.0</v>
      </c>
      <c r="I41" s="1" t="s">
        <v>51</v>
      </c>
      <c r="J41" s="1" t="str">
        <f t="array" ref="J41">IFERROR(INDEX(Metadata!O:O, MATCH(C41,Metadata!A:A, 0)),"")</f>
        <v>D36</v>
      </c>
    </row>
    <row r="42" hidden="1">
      <c r="A42" s="1" t="s">
        <v>177</v>
      </c>
      <c r="B42" s="1" t="s">
        <v>178</v>
      </c>
      <c r="C42" s="1" t="s">
        <v>179</v>
      </c>
      <c r="D42" s="1" t="s">
        <v>180</v>
      </c>
      <c r="E42" s="1" t="str">
        <f t="array" ref="E42">IFERROR(INDEX(Metadata!M:M, MATCH(C42,Metadata!A:A, 0)),"")</f>
        <v>Primary</v>
      </c>
      <c r="F42" s="1" t="str">
        <f t="array" ref="F42">IFERROR(INDEX(Metadata!N:N, MATCH(D42,Metadata!B:B, 0)),"")</f>
        <v>GP 2</v>
      </c>
      <c r="G42" s="6">
        <v>45902.0</v>
      </c>
      <c r="H42" s="6">
        <v>45947.0</v>
      </c>
      <c r="I42" s="1" t="s">
        <v>18</v>
      </c>
      <c r="J42" s="1" t="str">
        <f t="array" ref="J42">IFERROR(INDEX(Metadata!O:O, MATCH(C42,Metadata!A:A, 0)),"")</f>
        <v>D36</v>
      </c>
      <c r="L42" s="1" t="s">
        <v>181</v>
      </c>
    </row>
    <row r="43" hidden="1">
      <c r="A43" s="1" t="s">
        <v>182</v>
      </c>
      <c r="B43" s="1" t="s">
        <v>183</v>
      </c>
      <c r="C43" s="1" t="s">
        <v>184</v>
      </c>
      <c r="D43" s="1" t="s">
        <v>185</v>
      </c>
      <c r="E43" s="1" t="str">
        <f t="array" ref="E43">IFERROR(INDEX(Metadata!M:M, MATCH(C43,Metadata!A:A, 0)),"")</f>
        <v>SHAM</v>
      </c>
      <c r="F43" s="1" t="str">
        <f t="array" ref="F43">IFERROR(INDEX(Metadata!N:N, MATCH(D43,Metadata!B:B, 0)),"")</f>
        <v>GP 1</v>
      </c>
      <c r="G43" s="6">
        <v>45906.0</v>
      </c>
      <c r="H43" s="6">
        <v>45913.0</v>
      </c>
      <c r="I43" s="1" t="s">
        <v>18</v>
      </c>
      <c r="J43" s="1" t="str">
        <f t="array" ref="J43">IFERROR(INDEX(Metadata!O:O, MATCH(C43,Metadata!A:A, 0)),"")</f>
        <v>D5</v>
      </c>
    </row>
    <row r="44" hidden="1">
      <c r="A44" s="1" t="s">
        <v>186</v>
      </c>
      <c r="B44" s="1" t="s">
        <v>187</v>
      </c>
      <c r="C44" s="1" t="s">
        <v>88</v>
      </c>
      <c r="D44" s="1" t="s">
        <v>89</v>
      </c>
      <c r="E44" s="1" t="str">
        <f t="array" ref="E44">IFERROR(INDEX(Metadata!M:M, MATCH(C44,Metadata!A:A, 0)),"")</f>
        <v>Dual</v>
      </c>
      <c r="F44" s="1" t="str">
        <f t="array" ref="F44">IFERROR(INDEX(Metadata!N:N, MATCH(D44,Metadata!B:B, 0)),"")</f>
        <v>GP 2</v>
      </c>
      <c r="G44" s="6">
        <v>45902.0</v>
      </c>
      <c r="H44" s="6">
        <v>45932.0</v>
      </c>
      <c r="I44" s="1" t="s">
        <v>51</v>
      </c>
      <c r="J44" s="1" t="str">
        <f t="array" ref="J44">IFERROR(INDEX(Metadata!O:O, MATCH(C44,Metadata!A:A, 0)),"")</f>
        <v>D36</v>
      </c>
    </row>
    <row r="45" hidden="1">
      <c r="A45" s="1" t="s">
        <v>188</v>
      </c>
      <c r="B45" s="1" t="s">
        <v>189</v>
      </c>
      <c r="C45" s="1" t="s">
        <v>190</v>
      </c>
      <c r="D45" s="1" t="s">
        <v>191</v>
      </c>
      <c r="E45" s="1" t="str">
        <f t="array" ref="E45">IFERROR(INDEX(Metadata!M:M, MATCH(C45,Metadata!A:A, 0)),"")</f>
        <v>Dual</v>
      </c>
      <c r="F45" s="1" t="str">
        <f t="array" ref="F45">IFERROR(INDEX(Metadata!N:N, MATCH(D45,Metadata!B:B, 0)),"")</f>
        <v>GP 2</v>
      </c>
      <c r="G45" s="6">
        <v>45902.0</v>
      </c>
      <c r="H45" s="6">
        <v>45932.0</v>
      </c>
      <c r="I45" s="1" t="s">
        <v>18</v>
      </c>
      <c r="J45" s="1" t="str">
        <f t="array" ref="J45">IFERROR(INDEX(Metadata!O:O, MATCH(C45,Metadata!A:A, 0)),"")</f>
        <v>D36</v>
      </c>
    </row>
    <row r="46" hidden="1">
      <c r="A46" s="1" t="s">
        <v>192</v>
      </c>
      <c r="B46" s="1" t="s">
        <v>193</v>
      </c>
      <c r="C46" s="1" t="s">
        <v>106</v>
      </c>
      <c r="D46" s="1" t="s">
        <v>107</v>
      </c>
      <c r="E46" s="1" t="str">
        <f t="array" ref="E46">IFERROR(INDEX(Metadata!M:M, MATCH(C46,Metadata!A:A, 0)),"")</f>
        <v>Primary</v>
      </c>
      <c r="F46" s="1" t="str">
        <f t="array" ref="F46">IFERROR(INDEX(Metadata!N:N, MATCH(D46,Metadata!B:B, 0)),"")</f>
        <v>GP 2</v>
      </c>
      <c r="G46" s="6">
        <v>45902.0</v>
      </c>
      <c r="H46" s="6">
        <v>45932.0</v>
      </c>
      <c r="I46" s="1" t="s">
        <v>18</v>
      </c>
      <c r="J46" s="1" t="str">
        <f t="array" ref="J46">IFERROR(INDEX(Metadata!O:O, MATCH(C46,Metadata!A:A, 0)),"")</f>
        <v>D36</v>
      </c>
    </row>
    <row r="47" hidden="1">
      <c r="A47" s="1" t="s">
        <v>194</v>
      </c>
      <c r="B47" s="1" t="s">
        <v>195</v>
      </c>
      <c r="C47" s="1" t="s">
        <v>196</v>
      </c>
      <c r="D47" s="1" t="s">
        <v>197</v>
      </c>
      <c r="E47" s="1" t="str">
        <f t="array" ref="E47">IFERROR(INDEX(Metadata!M:M, MATCH(C47,Metadata!A:A, 0)),"")</f>
        <v>Secondary</v>
      </c>
      <c r="F47" s="1" t="str">
        <f t="array" ref="F47">IFERROR(INDEX(Metadata!N:N, MATCH(D47,Metadata!B:B, 0)),"")</f>
        <v>GP 2</v>
      </c>
      <c r="G47" s="6">
        <v>45909.0</v>
      </c>
      <c r="H47" s="6">
        <v>45915.0</v>
      </c>
      <c r="I47" s="1" t="s">
        <v>18</v>
      </c>
      <c r="J47" s="1" t="str">
        <f t="array" ref="J47">IFERROR(INDEX(Metadata!O:O, MATCH(C47,Metadata!A:A, 0)),"")</f>
        <v>D4</v>
      </c>
    </row>
    <row r="48" hidden="1">
      <c r="A48" s="1" t="s">
        <v>198</v>
      </c>
      <c r="B48" s="1" t="s">
        <v>199</v>
      </c>
      <c r="C48" s="1" t="s">
        <v>200</v>
      </c>
      <c r="D48" s="1" t="s">
        <v>201</v>
      </c>
      <c r="E48" s="1" t="str">
        <f t="array" ref="E48">IFERROR(INDEX(Metadata!M:M, MATCH(C48,Metadata!A:A, 0)),"")</f>
        <v>Dual</v>
      </c>
      <c r="F48" s="1" t="str">
        <f t="array" ref="F48">IFERROR(INDEX(Metadata!N:N, MATCH(D48,Metadata!B:B, 0)),"")</f>
        <v>GP 1</v>
      </c>
      <c r="G48" s="6">
        <v>45902.0</v>
      </c>
      <c r="H48" s="6">
        <v>45944.0</v>
      </c>
      <c r="I48" s="1" t="s">
        <v>18</v>
      </c>
      <c r="J48" s="1" t="str">
        <f t="array" ref="J48">IFERROR(INDEX(Metadata!O:O, MATCH(C48,Metadata!A:A, 0)),"")</f>
        <v>D36</v>
      </c>
      <c r="K48" s="1" t="s">
        <v>102</v>
      </c>
    </row>
    <row r="49">
      <c r="A49" s="1" t="s">
        <v>182</v>
      </c>
      <c r="B49" s="1" t="s">
        <v>202</v>
      </c>
      <c r="C49" s="1" t="s">
        <v>80</v>
      </c>
      <c r="D49" s="1" t="s">
        <v>81</v>
      </c>
      <c r="E49" s="1" t="str">
        <f t="array" ref="E49">IFERROR(INDEX(Metadata!M:M, MATCH(C49,Metadata!A:A, 0)),"")</f>
        <v>NoCo</v>
      </c>
      <c r="F49" s="1" t="str">
        <f t="array" ref="F49">IFERROR(INDEX(Metadata!N:N, MATCH(D49,Metadata!B:B, 0)),"")</f>
        <v>GP 1</v>
      </c>
      <c r="G49" s="6">
        <v>45929.0</v>
      </c>
      <c r="H49" s="6">
        <v>45944.0</v>
      </c>
      <c r="I49" s="1" t="s">
        <v>18</v>
      </c>
      <c r="J49" s="1" t="str">
        <f t="array" ref="J49">IFERROR(INDEX(Metadata!O:O, MATCH(C49,Metadata!A:A, 0)),"")</f>
        <v>D36</v>
      </c>
      <c r="L49" s="1" t="s">
        <v>203</v>
      </c>
    </row>
    <row r="50" hidden="1">
      <c r="A50" s="1" t="s">
        <v>161</v>
      </c>
      <c r="B50" s="1" t="s">
        <v>204</v>
      </c>
      <c r="C50" s="1" t="s">
        <v>159</v>
      </c>
      <c r="D50" s="1" t="s">
        <v>160</v>
      </c>
      <c r="E50" s="1" t="str">
        <f t="array" ref="E50">IFERROR(INDEX(Metadata!M:M, MATCH(C50,Metadata!A:A, 0)),"")</f>
        <v>Secondary</v>
      </c>
      <c r="F50" s="1" t="str">
        <f t="array" ref="F50">IFERROR(INDEX(Metadata!N:N, MATCH(D50,Metadata!B:B, 0)),"")</f>
        <v>GP 2</v>
      </c>
      <c r="G50" s="6">
        <v>45932.0</v>
      </c>
      <c r="H50" s="6">
        <v>45947.0</v>
      </c>
      <c r="I50" s="1" t="s">
        <v>18</v>
      </c>
      <c r="J50" s="1" t="str">
        <f t="array" ref="J50">IFERROR(INDEX(Metadata!O:O, MATCH(C50,Metadata!A:A, 0)),"")</f>
        <v>D36</v>
      </c>
    </row>
    <row r="51" hidden="1">
      <c r="A51" s="1" t="s">
        <v>39</v>
      </c>
      <c r="B51" s="1" t="s">
        <v>205</v>
      </c>
      <c r="C51" s="1" t="s">
        <v>33</v>
      </c>
      <c r="D51" s="1" t="s">
        <v>34</v>
      </c>
      <c r="E51" s="1" t="str">
        <f t="array" ref="E51">IFERROR(INDEX(Metadata!M:M, MATCH(C51,Metadata!A:A, 0)),"")</f>
        <v>Dual</v>
      </c>
      <c r="F51" s="1" t="str">
        <f t="array" ref="F51">IFERROR(INDEX(Metadata!N:N, MATCH(D51,Metadata!B:B, 0)),"")</f>
        <v>GP 1</v>
      </c>
      <c r="G51" s="6">
        <v>45929.0</v>
      </c>
      <c r="H51" s="6">
        <v>45944.0</v>
      </c>
      <c r="I51" s="1" t="s">
        <v>18</v>
      </c>
      <c r="J51" s="1" t="str">
        <f t="array" ref="J51">IFERROR(INDEX(Metadata!O:O, MATCH(C51,Metadata!A:A, 0)),"")</f>
        <v>D36</v>
      </c>
    </row>
    <row r="52">
      <c r="A52" s="1" t="s">
        <v>78</v>
      </c>
      <c r="B52" s="1" t="s">
        <v>206</v>
      </c>
      <c r="C52" s="1" t="s">
        <v>96</v>
      </c>
      <c r="D52" s="1" t="s">
        <v>97</v>
      </c>
      <c r="E52" s="1" t="str">
        <f t="array" ref="E52">IFERROR(INDEX(Metadata!M:M, MATCH(C52,Metadata!A:A, 0)),"")</f>
        <v>NoCo</v>
      </c>
      <c r="F52" s="1" t="str">
        <f t="array" ref="F52">IFERROR(INDEX(Metadata!N:N, MATCH(D52,Metadata!B:B, 0)),"")</f>
        <v>GP 2</v>
      </c>
      <c r="G52" s="6">
        <v>45932.0</v>
      </c>
      <c r="H52" s="6">
        <v>45947.0</v>
      </c>
      <c r="I52" s="1" t="s">
        <v>18</v>
      </c>
      <c r="J52" s="1" t="str">
        <f t="array" ref="J52">IFERROR(INDEX(Metadata!O:O, MATCH(C52,Metadata!A:A, 0)),"")</f>
        <v>D36</v>
      </c>
    </row>
    <row r="53" hidden="1">
      <c r="A53" s="1" t="s">
        <v>169</v>
      </c>
      <c r="B53" s="1" t="s">
        <v>207</v>
      </c>
      <c r="C53" s="1" t="s">
        <v>190</v>
      </c>
      <c r="D53" s="1" t="s">
        <v>191</v>
      </c>
      <c r="E53" s="1" t="str">
        <f t="array" ref="E53">IFERROR(INDEX(Metadata!M:M, MATCH(C53,Metadata!A:A, 0)),"")</f>
        <v>Dual</v>
      </c>
      <c r="F53" s="1" t="str">
        <f t="array" ref="F53">IFERROR(INDEX(Metadata!N:N, MATCH(D53,Metadata!B:B, 0)),"")</f>
        <v>GP 2</v>
      </c>
      <c r="G53" s="6">
        <v>45932.0</v>
      </c>
      <c r="H53" s="6">
        <v>45947.0</v>
      </c>
      <c r="I53" s="1" t="s">
        <v>18</v>
      </c>
      <c r="J53" s="1" t="str">
        <f t="array" ref="J53">IFERROR(INDEX(Metadata!O:O, MATCH(C53,Metadata!A:A, 0)),"")</f>
        <v>D36</v>
      </c>
      <c r="L53" s="1" t="s">
        <v>208</v>
      </c>
    </row>
    <row r="54" hidden="1">
      <c r="A54" s="1" t="s">
        <v>14</v>
      </c>
      <c r="B54" s="1" t="s">
        <v>209</v>
      </c>
      <c r="C54" s="1" t="s">
        <v>29</v>
      </c>
      <c r="D54" s="1" t="s">
        <v>30</v>
      </c>
      <c r="E54" s="1" t="str">
        <f t="array" ref="E54">IFERROR(INDEX(Metadata!M:M, MATCH(C54,Metadata!A:A, 0)),"")</f>
        <v>SHAM</v>
      </c>
      <c r="F54" s="1" t="str">
        <f t="array" ref="F54">IFERROR(INDEX(Metadata!N:N, MATCH(D54,Metadata!B:B, 0)),"")</f>
        <v>GP 1</v>
      </c>
      <c r="G54" s="6">
        <v>45929.0</v>
      </c>
      <c r="H54" s="6">
        <v>45944.0</v>
      </c>
      <c r="I54" s="1" t="s">
        <v>18</v>
      </c>
      <c r="J54" s="1" t="str">
        <f t="array" ref="J54">IFERROR(INDEX(Metadata!O:O, MATCH(C54,Metadata!A:A, 0)),"")</f>
        <v>D36</v>
      </c>
    </row>
    <row r="55" hidden="1">
      <c r="A55" s="1" t="s">
        <v>120</v>
      </c>
      <c r="B55" s="1" t="s">
        <v>210</v>
      </c>
      <c r="C55" s="1" t="s">
        <v>145</v>
      </c>
      <c r="D55" s="1" t="s">
        <v>146</v>
      </c>
      <c r="E55" s="1" t="str">
        <f t="array" ref="E55">IFERROR(INDEX(Metadata!M:M, MATCH(C55,Metadata!A:A, 0)),"")</f>
        <v>Secondary</v>
      </c>
      <c r="F55" s="1" t="str">
        <f t="array" ref="F55">IFERROR(INDEX(Metadata!N:N, MATCH(D55,Metadata!B:B, 0)),"")</f>
        <v>GP 1</v>
      </c>
      <c r="G55" s="6">
        <v>45929.0</v>
      </c>
      <c r="H55" s="6">
        <v>45944.0</v>
      </c>
      <c r="I55" s="1" t="s">
        <v>18</v>
      </c>
      <c r="J55" s="1" t="str">
        <f t="array" ref="J55">IFERROR(INDEX(Metadata!O:O, MATCH(C55,Metadata!A:A, 0)),"")</f>
        <v>D36</v>
      </c>
    </row>
    <row r="56" hidden="1">
      <c r="A56" s="1" t="s">
        <v>194</v>
      </c>
      <c r="B56" s="1" t="s">
        <v>211</v>
      </c>
      <c r="C56" s="1" t="s">
        <v>60</v>
      </c>
      <c r="D56" s="1" t="s">
        <v>60</v>
      </c>
      <c r="E56" s="1" t="s">
        <v>60</v>
      </c>
      <c r="F56" s="1" t="s">
        <v>60</v>
      </c>
      <c r="G56" s="1" t="s">
        <v>60</v>
      </c>
      <c r="H56" s="1" t="s">
        <v>60</v>
      </c>
      <c r="I56" s="1" t="s">
        <v>60</v>
      </c>
      <c r="J56" s="1" t="s">
        <v>60</v>
      </c>
    </row>
    <row r="57" hidden="1">
      <c r="A57" s="1" t="s">
        <v>143</v>
      </c>
      <c r="B57" s="1" t="s">
        <v>212</v>
      </c>
      <c r="C57" s="1" t="s">
        <v>114</v>
      </c>
      <c r="D57" s="1" t="s">
        <v>115</v>
      </c>
      <c r="E57" s="1" t="str">
        <f t="array" ref="E57">IFERROR(INDEX(Metadata!M:M, MATCH(C57,Metadata!A:A, 0)),"")</f>
        <v>Primary</v>
      </c>
      <c r="F57" s="1" t="str">
        <f t="array" ref="F57">IFERROR(INDEX(Metadata!N:N, MATCH(D57,Metadata!B:B, 0)),"")</f>
        <v>GP 2</v>
      </c>
      <c r="G57" s="6">
        <v>45932.0</v>
      </c>
      <c r="H57" s="6">
        <v>45947.0</v>
      </c>
      <c r="I57" s="1" t="s">
        <v>18</v>
      </c>
      <c r="J57" s="1" t="str">
        <f t="array" ref="J57">IFERROR(INDEX(Metadata!O:O, MATCH(C57,Metadata!A:A, 0)),"")</f>
        <v>D36</v>
      </c>
    </row>
    <row r="58" hidden="1">
      <c r="A58" s="1" t="s">
        <v>74</v>
      </c>
      <c r="B58" s="1" t="s">
        <v>213</v>
      </c>
      <c r="C58" s="1" t="s">
        <v>60</v>
      </c>
      <c r="D58" s="1" t="s">
        <v>60</v>
      </c>
      <c r="E58" s="1" t="s">
        <v>60</v>
      </c>
      <c r="F58" s="1" t="s">
        <v>60</v>
      </c>
      <c r="G58" s="1" t="s">
        <v>60</v>
      </c>
      <c r="I58" s="1" t="s">
        <v>60</v>
      </c>
      <c r="J58" s="1" t="s">
        <v>60</v>
      </c>
    </row>
    <row r="59" hidden="1">
      <c r="A59" s="1" t="s">
        <v>13</v>
      </c>
    </row>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autoFilter ref="$A$1:$AE$1000">
    <filterColumn colId="4">
      <filters blank="1">
        <filter val="NA"/>
        <filter val="NoCo"/>
      </filters>
    </filterColumn>
    <filterColumn colId="9">
      <filters>
        <filter val="D36"/>
      </filters>
    </filterColumn>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sheetData>
    <row r="1">
      <c r="A1" s="9" t="s">
        <v>216</v>
      </c>
      <c r="B1" s="9" t="s">
        <v>217</v>
      </c>
      <c r="C1" s="9" t="s">
        <v>218</v>
      </c>
      <c r="D1" s="9" t="s">
        <v>219</v>
      </c>
      <c r="E1" s="9" t="s">
        <v>220</v>
      </c>
      <c r="F1" s="9" t="s">
        <v>221</v>
      </c>
      <c r="G1" s="9" t="s">
        <v>222</v>
      </c>
      <c r="H1" s="9" t="s">
        <v>223</v>
      </c>
      <c r="I1" s="9" t="s">
        <v>224</v>
      </c>
      <c r="J1" s="9" t="s">
        <v>225</v>
      </c>
      <c r="K1" s="9" t="s">
        <v>226</v>
      </c>
      <c r="L1" s="9" t="s">
        <v>227</v>
      </c>
      <c r="M1" s="9" t="s">
        <v>228</v>
      </c>
      <c r="N1" s="9" t="s">
        <v>6</v>
      </c>
      <c r="O1" s="9" t="s">
        <v>229</v>
      </c>
      <c r="P1" s="9" t="s">
        <v>12</v>
      </c>
      <c r="Q1" s="10"/>
      <c r="R1" s="11"/>
      <c r="S1" s="11"/>
      <c r="T1" s="11"/>
      <c r="U1" s="11"/>
      <c r="V1" s="11"/>
      <c r="W1" s="11"/>
      <c r="X1" s="11"/>
      <c r="Y1" s="11"/>
      <c r="Z1" s="11"/>
      <c r="AA1" s="11"/>
      <c r="AB1" s="11"/>
      <c r="AC1" s="11"/>
    </row>
    <row r="2" hidden="1">
      <c r="A2" s="12" t="s">
        <v>118</v>
      </c>
      <c r="B2" s="12" t="s">
        <v>119</v>
      </c>
      <c r="C2" s="13">
        <v>45873.0</v>
      </c>
      <c r="D2" s="12" t="s">
        <v>230</v>
      </c>
      <c r="E2" s="14">
        <v>41.77</v>
      </c>
      <c r="F2" s="14">
        <v>10.8</v>
      </c>
      <c r="G2" s="14">
        <v>12.5</v>
      </c>
      <c r="H2" s="14">
        <v>0.2992578406</v>
      </c>
      <c r="I2" s="12" t="s">
        <v>231</v>
      </c>
      <c r="J2" s="11"/>
      <c r="K2" s="12" t="s">
        <v>232</v>
      </c>
      <c r="L2" s="15" t="s">
        <v>233</v>
      </c>
      <c r="M2" s="15" t="s">
        <v>234</v>
      </c>
      <c r="N2" s="12" t="s">
        <v>235</v>
      </c>
      <c r="O2" s="12" t="s">
        <v>236</v>
      </c>
      <c r="P2" s="11"/>
      <c r="Q2" s="12" t="s">
        <v>237</v>
      </c>
      <c r="R2" s="11"/>
      <c r="S2" s="11"/>
      <c r="T2" s="11"/>
      <c r="U2" s="11"/>
      <c r="V2" s="11"/>
      <c r="W2" s="11"/>
      <c r="X2" s="11"/>
      <c r="Y2" s="11"/>
      <c r="Z2" s="11"/>
      <c r="AA2" s="11"/>
      <c r="AB2" s="11"/>
      <c r="AC2" s="11"/>
    </row>
    <row r="3">
      <c r="A3" s="12" t="s">
        <v>88</v>
      </c>
      <c r="B3" s="12" t="s">
        <v>89</v>
      </c>
      <c r="C3" s="16">
        <v>45875.0</v>
      </c>
      <c r="D3" s="12" t="s">
        <v>238</v>
      </c>
      <c r="E3" s="14">
        <v>42.79</v>
      </c>
      <c r="F3" s="14">
        <v>11.5</v>
      </c>
      <c r="G3" s="14">
        <v>15.3</v>
      </c>
      <c r="H3" s="14">
        <v>0.3575601776</v>
      </c>
      <c r="I3" s="12" t="s">
        <v>231</v>
      </c>
      <c r="J3" s="11"/>
      <c r="K3" s="12" t="s">
        <v>232</v>
      </c>
      <c r="L3" s="15" t="s">
        <v>239</v>
      </c>
      <c r="M3" s="15" t="s">
        <v>234</v>
      </c>
      <c r="N3" s="12" t="s">
        <v>235</v>
      </c>
      <c r="O3" s="12" t="s">
        <v>240</v>
      </c>
      <c r="P3" s="11"/>
      <c r="Q3" s="12" t="s">
        <v>241</v>
      </c>
      <c r="R3" s="11"/>
      <c r="S3" s="11"/>
      <c r="T3" s="11"/>
      <c r="U3" s="11"/>
      <c r="V3" s="11"/>
      <c r="W3" s="11"/>
      <c r="X3" s="11"/>
      <c r="Y3" s="11"/>
      <c r="Z3" s="11"/>
      <c r="AA3" s="11"/>
      <c r="AB3" s="11"/>
      <c r="AC3" s="11"/>
    </row>
    <row r="4">
      <c r="A4" s="12" t="s">
        <v>190</v>
      </c>
      <c r="B4" s="12" t="s">
        <v>191</v>
      </c>
      <c r="C4" s="16">
        <v>45875.0</v>
      </c>
      <c r="D4" s="12" t="s">
        <v>238</v>
      </c>
      <c r="E4" s="14">
        <v>44.94</v>
      </c>
      <c r="F4" s="14">
        <v>13.6</v>
      </c>
      <c r="G4" s="14">
        <v>22.8</v>
      </c>
      <c r="H4" s="14">
        <v>0.5073431242</v>
      </c>
      <c r="I4" s="12" t="s">
        <v>242</v>
      </c>
      <c r="J4" s="11"/>
      <c r="K4" s="12" t="s">
        <v>232</v>
      </c>
      <c r="L4" s="15" t="s">
        <v>243</v>
      </c>
      <c r="M4" s="15" t="s">
        <v>234</v>
      </c>
      <c r="N4" s="12" t="s">
        <v>235</v>
      </c>
      <c r="O4" s="12" t="s">
        <v>240</v>
      </c>
      <c r="P4" s="11"/>
      <c r="Q4" s="11"/>
      <c r="R4" s="11"/>
      <c r="S4" s="11"/>
      <c r="T4" s="11"/>
      <c r="U4" s="11"/>
      <c r="V4" s="11"/>
      <c r="W4" s="11"/>
      <c r="X4" s="11"/>
      <c r="Y4" s="11"/>
      <c r="Z4" s="11"/>
      <c r="AA4" s="11"/>
      <c r="AB4" s="11"/>
      <c r="AC4" s="11"/>
    </row>
    <row r="5">
      <c r="A5" s="12" t="s">
        <v>33</v>
      </c>
      <c r="B5" s="12" t="s">
        <v>34</v>
      </c>
      <c r="C5" s="16">
        <v>45875.0</v>
      </c>
      <c r="D5" s="12" t="s">
        <v>238</v>
      </c>
      <c r="E5" s="14">
        <v>45.26</v>
      </c>
      <c r="F5" s="14">
        <v>10.9</v>
      </c>
      <c r="G5" s="14">
        <v>24.3</v>
      </c>
      <c r="H5" s="14">
        <v>0.5368979231</v>
      </c>
      <c r="I5" s="12" t="s">
        <v>242</v>
      </c>
      <c r="J5" s="11"/>
      <c r="K5" s="12" t="s">
        <v>232</v>
      </c>
      <c r="L5" s="15" t="s">
        <v>244</v>
      </c>
      <c r="M5" s="15" t="s">
        <v>234</v>
      </c>
      <c r="N5" s="12" t="s">
        <v>245</v>
      </c>
      <c r="O5" s="12" t="s">
        <v>240</v>
      </c>
      <c r="P5" s="11"/>
      <c r="Q5" s="11"/>
      <c r="R5" s="11"/>
      <c r="S5" s="11"/>
      <c r="T5" s="11"/>
      <c r="U5" s="11"/>
      <c r="V5" s="11"/>
      <c r="W5" s="11"/>
      <c r="X5" s="11"/>
      <c r="Y5" s="11"/>
      <c r="Z5" s="11"/>
      <c r="AA5" s="11"/>
      <c r="AB5" s="11"/>
      <c r="AC5" s="11"/>
    </row>
    <row r="6">
      <c r="A6" s="12" t="s">
        <v>45</v>
      </c>
      <c r="B6" s="12" t="s">
        <v>46</v>
      </c>
      <c r="C6" s="16">
        <v>45887.0</v>
      </c>
      <c r="D6" s="12" t="s">
        <v>246</v>
      </c>
      <c r="E6" s="14">
        <v>45.2</v>
      </c>
      <c r="F6" s="14">
        <v>16.7</v>
      </c>
      <c r="G6" s="14">
        <v>20.1</v>
      </c>
      <c r="H6" s="14">
        <v>0.4446902655</v>
      </c>
      <c r="I6" s="12" t="s">
        <v>242</v>
      </c>
      <c r="J6" s="11"/>
      <c r="K6" s="12" t="s">
        <v>232</v>
      </c>
      <c r="L6" s="17" t="s">
        <v>247</v>
      </c>
      <c r="M6" s="15" t="s">
        <v>234</v>
      </c>
      <c r="N6" s="12" t="s">
        <v>245</v>
      </c>
      <c r="O6" s="12" t="s">
        <v>240</v>
      </c>
      <c r="P6" s="11"/>
      <c r="Q6" s="11"/>
      <c r="R6" s="11"/>
      <c r="S6" s="11"/>
      <c r="T6" s="11"/>
      <c r="U6" s="11"/>
      <c r="V6" s="11"/>
      <c r="W6" s="11"/>
      <c r="X6" s="11"/>
      <c r="Y6" s="11"/>
      <c r="Z6" s="11"/>
      <c r="AA6" s="11"/>
      <c r="AB6" s="11"/>
      <c r="AC6" s="11"/>
    </row>
    <row r="7" hidden="1">
      <c r="A7" s="12" t="s">
        <v>49</v>
      </c>
      <c r="B7" s="12" t="s">
        <v>50</v>
      </c>
      <c r="C7" s="16">
        <v>45875.0</v>
      </c>
      <c r="D7" s="12" t="s">
        <v>238</v>
      </c>
      <c r="E7" s="14">
        <v>47.71</v>
      </c>
      <c r="F7" s="14">
        <v>15.4</v>
      </c>
      <c r="G7" s="14">
        <v>25.5</v>
      </c>
      <c r="H7" s="14">
        <v>0.5344791448</v>
      </c>
      <c r="I7" s="12" t="s">
        <v>242</v>
      </c>
      <c r="J7" s="11"/>
      <c r="K7" s="12" t="s">
        <v>248</v>
      </c>
      <c r="L7" s="15" t="s">
        <v>249</v>
      </c>
      <c r="M7" s="15" t="s">
        <v>250</v>
      </c>
      <c r="N7" s="12" t="s">
        <v>245</v>
      </c>
      <c r="O7" s="12" t="s">
        <v>251</v>
      </c>
      <c r="P7" s="11"/>
      <c r="Q7" s="12" t="s">
        <v>252</v>
      </c>
      <c r="R7" s="11"/>
      <c r="S7" s="11"/>
      <c r="T7" s="11"/>
      <c r="U7" s="11"/>
      <c r="V7" s="11"/>
      <c r="W7" s="11"/>
      <c r="X7" s="11"/>
      <c r="Y7" s="11"/>
      <c r="Z7" s="11"/>
      <c r="AA7" s="11"/>
      <c r="AB7" s="11"/>
      <c r="AC7" s="11"/>
    </row>
    <row r="8" hidden="1">
      <c r="A8" s="12" t="s">
        <v>16</v>
      </c>
      <c r="B8" s="12" t="s">
        <v>17</v>
      </c>
      <c r="C8" s="16">
        <v>45888.0</v>
      </c>
      <c r="D8" s="12" t="s">
        <v>246</v>
      </c>
      <c r="E8" s="14">
        <v>45.57</v>
      </c>
      <c r="F8" s="14">
        <v>15.0</v>
      </c>
      <c r="G8" s="14">
        <v>14.4</v>
      </c>
      <c r="H8" s="14">
        <v>0.3159973667</v>
      </c>
      <c r="I8" s="12" t="s">
        <v>231</v>
      </c>
      <c r="J8" s="11"/>
      <c r="K8" s="12" t="s">
        <v>248</v>
      </c>
      <c r="L8" s="15" t="s">
        <v>253</v>
      </c>
      <c r="M8" s="15" t="s">
        <v>250</v>
      </c>
      <c r="N8" s="12" t="s">
        <v>245</v>
      </c>
      <c r="O8" s="12" t="s">
        <v>254</v>
      </c>
      <c r="P8" s="11"/>
      <c r="Q8" s="12" t="s">
        <v>255</v>
      </c>
      <c r="R8" s="11"/>
      <c r="S8" s="11"/>
      <c r="T8" s="11"/>
      <c r="U8" s="11"/>
      <c r="V8" s="11"/>
      <c r="W8" s="11"/>
      <c r="X8" s="11"/>
      <c r="Y8" s="11"/>
      <c r="Z8" s="11"/>
      <c r="AA8" s="11"/>
      <c r="AB8" s="11"/>
      <c r="AC8" s="11"/>
    </row>
    <row r="9">
      <c r="A9" s="12" t="s">
        <v>200</v>
      </c>
      <c r="B9" s="12" t="s">
        <v>201</v>
      </c>
      <c r="C9" s="16">
        <v>45887.0</v>
      </c>
      <c r="D9" s="12" t="s">
        <v>246</v>
      </c>
      <c r="E9" s="14">
        <v>46.92</v>
      </c>
      <c r="F9" s="14">
        <v>16.1</v>
      </c>
      <c r="G9" s="14">
        <v>15.0</v>
      </c>
      <c r="H9" s="14">
        <v>0.3196930946</v>
      </c>
      <c r="I9" s="12" t="s">
        <v>242</v>
      </c>
      <c r="J9" s="11"/>
      <c r="K9" s="12" t="s">
        <v>232</v>
      </c>
      <c r="L9" s="15" t="s">
        <v>256</v>
      </c>
      <c r="M9" s="15" t="s">
        <v>234</v>
      </c>
      <c r="N9" s="12" t="s">
        <v>245</v>
      </c>
      <c r="O9" s="12" t="s">
        <v>240</v>
      </c>
      <c r="P9" s="11"/>
      <c r="Q9" s="11"/>
      <c r="R9" s="11"/>
      <c r="S9" s="11"/>
      <c r="T9" s="11"/>
      <c r="U9" s="11"/>
      <c r="V9" s="11"/>
      <c r="W9" s="11"/>
      <c r="X9" s="11"/>
      <c r="Y9" s="11"/>
      <c r="Z9" s="11"/>
      <c r="AA9" s="11"/>
      <c r="AB9" s="11"/>
      <c r="AC9" s="11"/>
    </row>
    <row r="10">
      <c r="A10" s="12" t="s">
        <v>25</v>
      </c>
      <c r="B10" s="12" t="s">
        <v>26</v>
      </c>
      <c r="C10" s="16">
        <v>45888.0</v>
      </c>
      <c r="D10" s="12" t="s">
        <v>246</v>
      </c>
      <c r="E10" s="14">
        <v>42.99</v>
      </c>
      <c r="F10" s="14">
        <v>13.8</v>
      </c>
      <c r="G10" s="14">
        <v>24.4</v>
      </c>
      <c r="H10" s="14">
        <v>0.5675738544</v>
      </c>
      <c r="I10" s="12" t="s">
        <v>231</v>
      </c>
      <c r="J10" s="11"/>
      <c r="K10" s="12" t="s">
        <v>232</v>
      </c>
      <c r="L10" s="15" t="s">
        <v>257</v>
      </c>
      <c r="M10" s="15" t="s">
        <v>234</v>
      </c>
      <c r="N10" s="12" t="s">
        <v>235</v>
      </c>
      <c r="O10" s="12" t="s">
        <v>240</v>
      </c>
      <c r="P10" s="11"/>
      <c r="Q10" s="11"/>
      <c r="R10" s="11"/>
      <c r="S10" s="11"/>
      <c r="T10" s="11"/>
      <c r="U10" s="11"/>
      <c r="V10" s="11"/>
      <c r="W10" s="11"/>
      <c r="X10" s="11"/>
      <c r="Y10" s="11"/>
      <c r="Z10" s="11"/>
      <c r="AA10" s="11"/>
      <c r="AB10" s="11"/>
      <c r="AC10" s="11"/>
    </row>
    <row r="11" hidden="1">
      <c r="A11" s="12" t="s">
        <v>37</v>
      </c>
      <c r="B11" s="12" t="s">
        <v>38</v>
      </c>
      <c r="C11" s="16">
        <v>45875.0</v>
      </c>
      <c r="D11" s="12" t="s">
        <v>238</v>
      </c>
      <c r="E11" s="14">
        <v>46.58</v>
      </c>
      <c r="F11" s="14">
        <v>17.5</v>
      </c>
      <c r="G11" s="14">
        <v>33.4</v>
      </c>
      <c r="H11" s="14">
        <v>0.7170459425</v>
      </c>
      <c r="I11" s="12" t="s">
        <v>242</v>
      </c>
      <c r="J11" s="11"/>
      <c r="K11" s="12" t="s">
        <v>232</v>
      </c>
      <c r="L11" s="15" t="s">
        <v>258</v>
      </c>
      <c r="M11" s="15" t="s">
        <v>259</v>
      </c>
      <c r="N11" s="12" t="s">
        <v>235</v>
      </c>
      <c r="O11" s="12" t="s">
        <v>260</v>
      </c>
      <c r="P11" s="12" t="s">
        <v>261</v>
      </c>
      <c r="Q11" s="11"/>
      <c r="R11" s="11"/>
      <c r="S11" s="11"/>
      <c r="T11" s="11"/>
      <c r="U11" s="11"/>
      <c r="V11" s="11"/>
      <c r="W11" s="11"/>
      <c r="X11" s="11"/>
      <c r="Y11" s="11"/>
      <c r="Z11" s="11"/>
      <c r="AA11" s="11"/>
      <c r="AB11" s="11"/>
      <c r="AC11" s="11"/>
    </row>
    <row r="12">
      <c r="A12" s="12" t="s">
        <v>126</v>
      </c>
      <c r="B12" s="12" t="s">
        <v>262</v>
      </c>
      <c r="C12" s="16">
        <v>45875.0</v>
      </c>
      <c r="D12" s="12" t="s">
        <v>238</v>
      </c>
      <c r="E12" s="14">
        <v>47.09</v>
      </c>
      <c r="F12" s="14">
        <v>15.9</v>
      </c>
      <c r="G12" s="14">
        <v>27.5</v>
      </c>
      <c r="H12" s="14">
        <v>0.5839881079</v>
      </c>
      <c r="I12" s="12" t="s">
        <v>242</v>
      </c>
      <c r="J12" s="11"/>
      <c r="K12" s="12" t="s">
        <v>232</v>
      </c>
      <c r="L12" s="15" t="s">
        <v>263</v>
      </c>
      <c r="M12" s="15" t="s">
        <v>250</v>
      </c>
      <c r="N12" s="12" t="s">
        <v>245</v>
      </c>
      <c r="O12" s="12" t="s">
        <v>240</v>
      </c>
      <c r="P12" s="11"/>
      <c r="Q12" s="11"/>
      <c r="R12" s="11"/>
      <c r="S12" s="11"/>
      <c r="T12" s="11"/>
      <c r="U12" s="11"/>
      <c r="V12" s="11"/>
      <c r="W12" s="11"/>
      <c r="X12" s="11"/>
      <c r="Y12" s="11"/>
      <c r="Z12" s="11"/>
      <c r="AA12" s="11"/>
      <c r="AB12" s="11"/>
      <c r="AC12" s="11"/>
    </row>
    <row r="13">
      <c r="A13" s="12" t="s">
        <v>80</v>
      </c>
      <c r="B13" s="12" t="s">
        <v>81</v>
      </c>
      <c r="C13" s="16">
        <v>45888.0</v>
      </c>
      <c r="D13" s="12" t="s">
        <v>246</v>
      </c>
      <c r="E13" s="14">
        <v>45.02</v>
      </c>
      <c r="F13" s="14">
        <v>15.0</v>
      </c>
      <c r="G13" s="14">
        <v>19.3</v>
      </c>
      <c r="H13" s="14">
        <v>0.4286983563</v>
      </c>
      <c r="I13" s="12" t="s">
        <v>231</v>
      </c>
      <c r="J13" s="11"/>
      <c r="K13" s="12" t="s">
        <v>232</v>
      </c>
      <c r="L13" s="15" t="s">
        <v>264</v>
      </c>
      <c r="M13" s="15" t="s">
        <v>250</v>
      </c>
      <c r="N13" s="12" t="s">
        <v>245</v>
      </c>
      <c r="O13" s="12" t="s">
        <v>240</v>
      </c>
      <c r="P13" s="11"/>
      <c r="Q13" s="12" t="s">
        <v>265</v>
      </c>
      <c r="R13" s="11"/>
      <c r="S13" s="11"/>
      <c r="T13" s="11"/>
      <c r="U13" s="11"/>
      <c r="V13" s="11"/>
      <c r="W13" s="11"/>
      <c r="X13" s="11"/>
      <c r="Y13" s="11"/>
      <c r="Z13" s="11"/>
      <c r="AA13" s="11"/>
      <c r="AB13" s="11"/>
      <c r="AC13" s="11"/>
    </row>
    <row r="14">
      <c r="A14" s="12" t="s">
        <v>96</v>
      </c>
      <c r="B14" s="12" t="s">
        <v>97</v>
      </c>
      <c r="C14" s="13">
        <v>45873.0</v>
      </c>
      <c r="D14" s="12" t="s">
        <v>230</v>
      </c>
      <c r="E14" s="14">
        <v>45.12</v>
      </c>
      <c r="F14" s="14">
        <v>11.8</v>
      </c>
      <c r="G14" s="14">
        <v>21.5</v>
      </c>
      <c r="H14" s="14">
        <v>0.4765070922</v>
      </c>
      <c r="I14" s="12" t="s">
        <v>231</v>
      </c>
      <c r="J14" s="11"/>
      <c r="K14" s="12" t="s">
        <v>232</v>
      </c>
      <c r="L14" s="15" t="s">
        <v>266</v>
      </c>
      <c r="M14" s="15" t="s">
        <v>250</v>
      </c>
      <c r="N14" s="12" t="s">
        <v>235</v>
      </c>
      <c r="O14" s="12" t="s">
        <v>240</v>
      </c>
      <c r="P14" s="11"/>
      <c r="Q14" s="11"/>
      <c r="R14" s="11"/>
      <c r="S14" s="11"/>
      <c r="T14" s="11"/>
      <c r="U14" s="11"/>
      <c r="V14" s="11"/>
      <c r="W14" s="11"/>
      <c r="X14" s="11"/>
      <c r="Y14" s="11"/>
      <c r="Z14" s="11"/>
      <c r="AA14" s="11"/>
      <c r="AB14" s="11"/>
      <c r="AC14" s="11"/>
    </row>
    <row r="15">
      <c r="A15" s="12" t="s">
        <v>175</v>
      </c>
      <c r="B15" s="12" t="s">
        <v>176</v>
      </c>
      <c r="C15" s="16">
        <v>45884.0</v>
      </c>
      <c r="D15" s="12" t="s">
        <v>230</v>
      </c>
      <c r="E15" s="14">
        <v>46.4</v>
      </c>
      <c r="F15" s="14">
        <v>18.6</v>
      </c>
      <c r="G15" s="14">
        <v>15.9</v>
      </c>
      <c r="H15" s="14">
        <v>0.3426724138</v>
      </c>
      <c r="I15" s="12" t="s">
        <v>242</v>
      </c>
      <c r="J15" s="11"/>
      <c r="K15" s="12" t="s">
        <v>232</v>
      </c>
      <c r="L15" s="15" t="s">
        <v>267</v>
      </c>
      <c r="M15" s="15" t="s">
        <v>250</v>
      </c>
      <c r="N15" s="12" t="s">
        <v>235</v>
      </c>
      <c r="O15" s="12" t="s">
        <v>240</v>
      </c>
      <c r="P15" s="11"/>
      <c r="Q15" s="11"/>
      <c r="R15" s="11"/>
      <c r="S15" s="11"/>
      <c r="T15" s="11"/>
      <c r="U15" s="11"/>
      <c r="V15" s="11"/>
      <c r="W15" s="11"/>
      <c r="X15" s="11"/>
      <c r="Y15" s="11"/>
      <c r="Z15" s="11"/>
      <c r="AA15" s="11"/>
      <c r="AB15" s="11"/>
      <c r="AC15" s="11"/>
    </row>
    <row r="16" hidden="1">
      <c r="A16" s="12" t="s">
        <v>163</v>
      </c>
      <c r="B16" s="12" t="s">
        <v>164</v>
      </c>
      <c r="C16" s="16">
        <v>45875.0</v>
      </c>
      <c r="D16" s="12" t="s">
        <v>238</v>
      </c>
      <c r="E16" s="14">
        <v>46.54</v>
      </c>
      <c r="F16" s="14">
        <v>13.8</v>
      </c>
      <c r="G16" s="14">
        <v>30.1</v>
      </c>
      <c r="H16" s="14">
        <v>0.6467554792</v>
      </c>
      <c r="I16" s="12" t="s">
        <v>242</v>
      </c>
      <c r="J16" s="11"/>
      <c r="K16" s="12" t="s">
        <v>248</v>
      </c>
      <c r="L16" s="15" t="s">
        <v>268</v>
      </c>
      <c r="M16" s="15" t="s">
        <v>234</v>
      </c>
      <c r="N16" s="12" t="s">
        <v>245</v>
      </c>
      <c r="O16" s="12" t="s">
        <v>269</v>
      </c>
      <c r="P16" s="11"/>
      <c r="Q16" s="12" t="s">
        <v>270</v>
      </c>
      <c r="R16" s="11"/>
      <c r="S16" s="11"/>
      <c r="T16" s="11"/>
      <c r="U16" s="11"/>
      <c r="V16" s="11"/>
      <c r="W16" s="11"/>
      <c r="X16" s="11"/>
      <c r="Y16" s="11"/>
      <c r="Z16" s="11"/>
      <c r="AA16" s="11"/>
      <c r="AB16" s="11"/>
      <c r="AC16" s="11"/>
    </row>
    <row r="17">
      <c r="A17" s="12" t="s">
        <v>100</v>
      </c>
      <c r="B17" s="12" t="s">
        <v>101</v>
      </c>
      <c r="C17" s="16">
        <v>45888.0</v>
      </c>
      <c r="D17" s="12" t="s">
        <v>246</v>
      </c>
      <c r="E17" s="14">
        <v>41.77</v>
      </c>
      <c r="F17" s="14">
        <v>11.5</v>
      </c>
      <c r="G17" s="14">
        <v>19.6</v>
      </c>
      <c r="H17" s="14">
        <v>0.469236294</v>
      </c>
      <c r="I17" s="12" t="s">
        <v>231</v>
      </c>
      <c r="J17" s="11"/>
      <c r="K17" s="12" t="s">
        <v>232</v>
      </c>
      <c r="L17" s="12" t="s">
        <v>271</v>
      </c>
      <c r="M17" s="15" t="s">
        <v>250</v>
      </c>
      <c r="N17" s="12" t="s">
        <v>235</v>
      </c>
      <c r="O17" s="12" t="s">
        <v>240</v>
      </c>
      <c r="P17" s="12" t="s">
        <v>272</v>
      </c>
      <c r="Q17" s="11"/>
      <c r="R17" s="11"/>
      <c r="S17" s="11"/>
      <c r="T17" s="11"/>
      <c r="U17" s="11"/>
      <c r="V17" s="11"/>
      <c r="W17" s="11"/>
      <c r="X17" s="11"/>
      <c r="Y17" s="11"/>
      <c r="Z17" s="11"/>
      <c r="AA17" s="11"/>
      <c r="AB17" s="11"/>
      <c r="AC17" s="11"/>
    </row>
    <row r="18">
      <c r="A18" s="12" t="s">
        <v>29</v>
      </c>
      <c r="B18" s="12" t="s">
        <v>30</v>
      </c>
      <c r="C18" s="13">
        <v>45873.0</v>
      </c>
      <c r="D18" s="12" t="s">
        <v>230</v>
      </c>
      <c r="E18" s="14">
        <v>42.81</v>
      </c>
      <c r="F18" s="14">
        <v>13.3</v>
      </c>
      <c r="G18" s="14">
        <v>23.8</v>
      </c>
      <c r="H18" s="14">
        <v>0.5559448727</v>
      </c>
      <c r="I18" s="12" t="s">
        <v>231</v>
      </c>
      <c r="J18" s="11"/>
      <c r="K18" s="12" t="s">
        <v>232</v>
      </c>
      <c r="L18" s="15" t="s">
        <v>273</v>
      </c>
      <c r="M18" s="12" t="s">
        <v>274</v>
      </c>
      <c r="N18" s="12" t="s">
        <v>245</v>
      </c>
      <c r="O18" s="12" t="s">
        <v>240</v>
      </c>
      <c r="P18" s="11"/>
      <c r="Q18" s="11"/>
      <c r="R18" s="11"/>
      <c r="S18" s="11"/>
      <c r="T18" s="11"/>
      <c r="U18" s="11"/>
      <c r="V18" s="11"/>
      <c r="W18" s="11"/>
      <c r="X18" s="11"/>
      <c r="Y18" s="11"/>
      <c r="Z18" s="11"/>
      <c r="AA18" s="11"/>
      <c r="AB18" s="11"/>
      <c r="AC18" s="11"/>
    </row>
    <row r="19" hidden="1">
      <c r="A19" s="12" t="s">
        <v>76</v>
      </c>
      <c r="B19" s="12" t="s">
        <v>77</v>
      </c>
      <c r="C19" s="16">
        <v>45875.0</v>
      </c>
      <c r="D19" s="12" t="s">
        <v>238</v>
      </c>
      <c r="E19" s="14">
        <v>44.48</v>
      </c>
      <c r="F19" s="14">
        <v>14.4</v>
      </c>
      <c r="G19" s="14">
        <v>21.5</v>
      </c>
      <c r="H19" s="14">
        <v>0.4833633094</v>
      </c>
      <c r="I19" s="12" t="s">
        <v>242</v>
      </c>
      <c r="J19" s="11"/>
      <c r="K19" s="12" t="s">
        <v>248</v>
      </c>
      <c r="L19" s="15" t="s">
        <v>275</v>
      </c>
      <c r="M19" s="15" t="s">
        <v>274</v>
      </c>
      <c r="N19" s="12" t="s">
        <v>245</v>
      </c>
      <c r="O19" s="12" t="s">
        <v>276</v>
      </c>
      <c r="P19" s="12" t="s">
        <v>277</v>
      </c>
      <c r="Q19" s="12" t="s">
        <v>278</v>
      </c>
      <c r="R19" s="11"/>
      <c r="S19" s="11"/>
      <c r="T19" s="11"/>
      <c r="U19" s="11"/>
      <c r="V19" s="11"/>
      <c r="W19" s="11"/>
      <c r="X19" s="11"/>
      <c r="Y19" s="11"/>
      <c r="Z19" s="11"/>
      <c r="AA19" s="11"/>
      <c r="AB19" s="11"/>
      <c r="AC19" s="11"/>
    </row>
    <row r="20" hidden="1">
      <c r="A20" s="12" t="s">
        <v>141</v>
      </c>
      <c r="B20" s="12" t="s">
        <v>142</v>
      </c>
      <c r="C20" s="16">
        <v>45875.0</v>
      </c>
      <c r="D20" s="12" t="s">
        <v>238</v>
      </c>
      <c r="E20" s="14">
        <v>47.63</v>
      </c>
      <c r="F20" s="14">
        <v>17.4</v>
      </c>
      <c r="G20" s="14">
        <v>36.0</v>
      </c>
      <c r="H20" s="14">
        <v>0.75582616</v>
      </c>
      <c r="I20" s="12" t="s">
        <v>242</v>
      </c>
      <c r="J20" s="11"/>
      <c r="K20" s="12" t="s">
        <v>248</v>
      </c>
      <c r="L20" s="15" t="s">
        <v>279</v>
      </c>
      <c r="M20" s="12" t="s">
        <v>274</v>
      </c>
      <c r="N20" s="12" t="s">
        <v>245</v>
      </c>
      <c r="O20" s="12" t="s">
        <v>276</v>
      </c>
      <c r="P20" s="12" t="s">
        <v>280</v>
      </c>
      <c r="Q20" s="12" t="s">
        <v>281</v>
      </c>
      <c r="R20" s="11"/>
      <c r="S20" s="11"/>
      <c r="T20" s="11"/>
      <c r="U20" s="11"/>
      <c r="V20" s="11"/>
      <c r="W20" s="11"/>
      <c r="X20" s="11"/>
      <c r="Y20" s="11"/>
      <c r="Z20" s="11"/>
      <c r="AA20" s="11"/>
      <c r="AB20" s="11"/>
      <c r="AC20" s="11"/>
    </row>
    <row r="21" hidden="1">
      <c r="A21" s="12" t="s">
        <v>184</v>
      </c>
      <c r="B21" s="12" t="s">
        <v>185</v>
      </c>
      <c r="C21" s="16">
        <v>45884.0</v>
      </c>
      <c r="D21" s="12" t="s">
        <v>230</v>
      </c>
      <c r="E21" s="14">
        <v>43.29</v>
      </c>
      <c r="F21" s="14">
        <v>13.1</v>
      </c>
      <c r="G21" s="14">
        <v>15.1</v>
      </c>
      <c r="H21" s="14">
        <v>0.3488103488</v>
      </c>
      <c r="I21" s="12" t="s">
        <v>242</v>
      </c>
      <c r="J21" s="11"/>
      <c r="K21" s="12" t="s">
        <v>248</v>
      </c>
      <c r="L21" s="15" t="s">
        <v>282</v>
      </c>
      <c r="M21" s="15" t="s">
        <v>274</v>
      </c>
      <c r="N21" s="12" t="s">
        <v>245</v>
      </c>
      <c r="O21" s="12" t="s">
        <v>283</v>
      </c>
      <c r="P21" s="11"/>
      <c r="Q21" s="12" t="s">
        <v>284</v>
      </c>
      <c r="R21" s="11"/>
      <c r="S21" s="11"/>
      <c r="T21" s="11"/>
      <c r="U21" s="11"/>
      <c r="V21" s="11"/>
      <c r="W21" s="11"/>
      <c r="X21" s="11"/>
      <c r="Y21" s="11"/>
      <c r="Z21" s="11"/>
      <c r="AA21" s="11"/>
      <c r="AB21" s="11"/>
      <c r="AC21" s="11"/>
    </row>
    <row r="22" hidden="1">
      <c r="A22" s="12" t="s">
        <v>122</v>
      </c>
      <c r="B22" s="12" t="s">
        <v>123</v>
      </c>
      <c r="C22" s="16">
        <v>45875.0</v>
      </c>
      <c r="D22" s="12" t="s">
        <v>238</v>
      </c>
      <c r="E22" s="14">
        <v>46.23</v>
      </c>
      <c r="F22" s="14">
        <v>16.6</v>
      </c>
      <c r="G22" s="14">
        <v>33.5</v>
      </c>
      <c r="H22" s="14">
        <v>0.7246376812</v>
      </c>
      <c r="I22" s="12" t="s">
        <v>242</v>
      </c>
      <c r="J22" s="11"/>
      <c r="K22" s="12" t="s">
        <v>248</v>
      </c>
      <c r="L22" s="15" t="s">
        <v>285</v>
      </c>
      <c r="M22" s="15" t="s">
        <v>286</v>
      </c>
      <c r="N22" s="12" t="s">
        <v>245</v>
      </c>
      <c r="O22" s="12" t="s">
        <v>283</v>
      </c>
      <c r="P22" s="11"/>
      <c r="Q22" s="12" t="s">
        <v>287</v>
      </c>
      <c r="R22" s="11"/>
      <c r="S22" s="11"/>
      <c r="T22" s="11"/>
      <c r="U22" s="11"/>
      <c r="V22" s="11"/>
      <c r="W22" s="11"/>
      <c r="X22" s="11"/>
      <c r="Y22" s="11"/>
      <c r="Z22" s="11"/>
      <c r="AA22" s="11"/>
      <c r="AB22" s="11"/>
      <c r="AC22" s="11"/>
    </row>
    <row r="23" hidden="1">
      <c r="A23" s="12" t="s">
        <v>72</v>
      </c>
      <c r="B23" s="12" t="s">
        <v>73</v>
      </c>
      <c r="C23" s="16">
        <v>45875.0</v>
      </c>
      <c r="D23" s="12" t="s">
        <v>238</v>
      </c>
      <c r="E23" s="14">
        <v>44.49</v>
      </c>
      <c r="F23" s="14">
        <v>11.8</v>
      </c>
      <c r="G23" s="14">
        <v>23.3</v>
      </c>
      <c r="H23" s="14">
        <v>0.523713194</v>
      </c>
      <c r="I23" s="12" t="s">
        <v>231</v>
      </c>
      <c r="J23" s="11"/>
      <c r="K23" s="12" t="s">
        <v>248</v>
      </c>
      <c r="L23" s="15" t="s">
        <v>288</v>
      </c>
      <c r="M23" s="15" t="s">
        <v>259</v>
      </c>
      <c r="N23" s="12" t="s">
        <v>245</v>
      </c>
      <c r="O23" s="12" t="s">
        <v>254</v>
      </c>
      <c r="P23" s="12" t="s">
        <v>289</v>
      </c>
      <c r="Q23" s="12" t="s">
        <v>290</v>
      </c>
      <c r="R23" s="11"/>
      <c r="S23" s="11"/>
      <c r="T23" s="11"/>
      <c r="U23" s="11"/>
      <c r="V23" s="11"/>
      <c r="W23" s="11"/>
      <c r="X23" s="11"/>
      <c r="Y23" s="11"/>
      <c r="Z23" s="11"/>
      <c r="AA23" s="11"/>
      <c r="AB23" s="11"/>
      <c r="AC23" s="11"/>
    </row>
    <row r="24">
      <c r="A24" s="12" t="s">
        <v>21</v>
      </c>
      <c r="B24" s="12" t="s">
        <v>22</v>
      </c>
      <c r="C24" s="13">
        <v>45873.0</v>
      </c>
      <c r="D24" s="12" t="s">
        <v>230</v>
      </c>
      <c r="E24" s="14">
        <v>42.72</v>
      </c>
      <c r="F24" s="14">
        <v>11.5</v>
      </c>
      <c r="G24" s="14">
        <v>22.7</v>
      </c>
      <c r="H24" s="14">
        <v>0.5313670412</v>
      </c>
      <c r="I24" s="12" t="s">
        <v>231</v>
      </c>
      <c r="J24" s="11"/>
      <c r="K24" s="12" t="s">
        <v>232</v>
      </c>
      <c r="L24" s="15" t="s">
        <v>291</v>
      </c>
      <c r="M24" s="15" t="s">
        <v>286</v>
      </c>
      <c r="N24" s="12" t="s">
        <v>235</v>
      </c>
      <c r="O24" s="12" t="s">
        <v>240</v>
      </c>
      <c r="P24" s="11"/>
      <c r="Q24" s="11"/>
      <c r="R24" s="11"/>
      <c r="S24" s="11"/>
      <c r="T24" s="11"/>
      <c r="U24" s="11"/>
      <c r="V24" s="11"/>
      <c r="W24" s="11"/>
      <c r="X24" s="11"/>
      <c r="Y24" s="11"/>
      <c r="Z24" s="11"/>
      <c r="AA24" s="11"/>
      <c r="AB24" s="11"/>
      <c r="AC24" s="11"/>
    </row>
    <row r="25">
      <c r="A25" s="12" t="s">
        <v>110</v>
      </c>
      <c r="B25" s="12" t="s">
        <v>111</v>
      </c>
      <c r="C25" s="16">
        <v>45875.0</v>
      </c>
      <c r="D25" s="12" t="s">
        <v>238</v>
      </c>
      <c r="E25" s="14">
        <v>45.11</v>
      </c>
      <c r="F25" s="14">
        <v>12.8</v>
      </c>
      <c r="G25" s="14">
        <v>24.6</v>
      </c>
      <c r="H25" s="14">
        <v>0.5453336289</v>
      </c>
      <c r="I25" s="12" t="s">
        <v>231</v>
      </c>
      <c r="J25" s="11"/>
      <c r="K25" s="12" t="s">
        <v>232</v>
      </c>
      <c r="L25" s="15" t="s">
        <v>292</v>
      </c>
      <c r="M25" s="15" t="s">
        <v>286</v>
      </c>
      <c r="N25" s="12" t="s">
        <v>245</v>
      </c>
      <c r="O25" s="12" t="s">
        <v>240</v>
      </c>
      <c r="P25" s="11"/>
      <c r="Q25" s="11"/>
      <c r="R25" s="11"/>
      <c r="S25" s="11"/>
      <c r="T25" s="11"/>
      <c r="U25" s="11"/>
      <c r="V25" s="11"/>
      <c r="W25" s="11"/>
      <c r="X25" s="11"/>
      <c r="Y25" s="11"/>
      <c r="Z25" s="11"/>
      <c r="AA25" s="11"/>
      <c r="AB25" s="11"/>
      <c r="AC25" s="11"/>
    </row>
    <row r="26">
      <c r="A26" s="12" t="s">
        <v>114</v>
      </c>
      <c r="B26" s="12" t="s">
        <v>115</v>
      </c>
      <c r="C26" s="16">
        <v>45875.0</v>
      </c>
      <c r="D26" s="12" t="s">
        <v>238</v>
      </c>
      <c r="E26" s="14">
        <v>45.49</v>
      </c>
      <c r="F26" s="14">
        <v>13.9</v>
      </c>
      <c r="G26" s="14">
        <v>26.0</v>
      </c>
      <c r="H26" s="14">
        <v>0.5715541877</v>
      </c>
      <c r="I26" s="12" t="s">
        <v>242</v>
      </c>
      <c r="J26" s="11"/>
      <c r="K26" s="12" t="s">
        <v>232</v>
      </c>
      <c r="L26" s="15" t="s">
        <v>293</v>
      </c>
      <c r="M26" s="15" t="s">
        <v>286</v>
      </c>
      <c r="N26" s="12" t="s">
        <v>235</v>
      </c>
      <c r="O26" s="12" t="s">
        <v>240</v>
      </c>
      <c r="P26" s="11"/>
      <c r="Q26" s="11"/>
      <c r="R26" s="11"/>
      <c r="S26" s="11"/>
      <c r="T26" s="11"/>
      <c r="U26" s="11"/>
      <c r="V26" s="11"/>
      <c r="W26" s="11"/>
      <c r="X26" s="11"/>
      <c r="Y26" s="11"/>
      <c r="Z26" s="11"/>
      <c r="AA26" s="11"/>
      <c r="AB26" s="11"/>
      <c r="AC26" s="11"/>
    </row>
    <row r="27" hidden="1">
      <c r="A27" s="12" t="s">
        <v>41</v>
      </c>
      <c r="B27" s="12" t="s">
        <v>42</v>
      </c>
      <c r="C27" s="16">
        <v>45875.0</v>
      </c>
      <c r="D27" s="12" t="s">
        <v>238</v>
      </c>
      <c r="E27" s="14">
        <v>45.83</v>
      </c>
      <c r="F27" s="14">
        <v>15.1</v>
      </c>
      <c r="G27" s="14">
        <v>34.5</v>
      </c>
      <c r="H27" s="14">
        <v>0.7527820205</v>
      </c>
      <c r="I27" s="12" t="s">
        <v>242</v>
      </c>
      <c r="J27" s="11"/>
      <c r="K27" s="12" t="s">
        <v>248</v>
      </c>
      <c r="L27" s="15" t="s">
        <v>294</v>
      </c>
      <c r="M27" s="15" t="s">
        <v>250</v>
      </c>
      <c r="N27" s="12" t="s">
        <v>235</v>
      </c>
      <c r="O27" s="12" t="s">
        <v>283</v>
      </c>
      <c r="P27" s="11"/>
      <c r="Q27" s="12" t="s">
        <v>295</v>
      </c>
      <c r="R27" s="11"/>
      <c r="S27" s="11"/>
      <c r="T27" s="11"/>
      <c r="U27" s="11"/>
      <c r="V27" s="11"/>
      <c r="W27" s="11"/>
      <c r="X27" s="11"/>
      <c r="Y27" s="11"/>
      <c r="Z27" s="11"/>
      <c r="AA27" s="11"/>
      <c r="AB27" s="11"/>
      <c r="AC27" s="11"/>
    </row>
    <row r="28" hidden="1">
      <c r="A28" s="12" t="s">
        <v>296</v>
      </c>
      <c r="B28" s="12" t="s">
        <v>297</v>
      </c>
      <c r="C28" s="16">
        <v>45875.0</v>
      </c>
      <c r="D28" s="12" t="s">
        <v>238</v>
      </c>
      <c r="E28" s="14">
        <v>44.82</v>
      </c>
      <c r="F28" s="14">
        <v>12.2</v>
      </c>
      <c r="G28" s="14">
        <v>24.7</v>
      </c>
      <c r="H28" s="14">
        <v>0.5510932619</v>
      </c>
      <c r="I28" s="12" t="s">
        <v>242</v>
      </c>
      <c r="J28" s="11"/>
      <c r="K28" s="12" t="s">
        <v>248</v>
      </c>
      <c r="L28" s="15" t="s">
        <v>298</v>
      </c>
      <c r="M28" s="15" t="s">
        <v>250</v>
      </c>
      <c r="N28" s="12" t="s">
        <v>235</v>
      </c>
      <c r="O28" s="12" t="s">
        <v>299</v>
      </c>
      <c r="P28" s="12" t="s">
        <v>300</v>
      </c>
      <c r="Q28" s="12" t="s">
        <v>301</v>
      </c>
      <c r="R28" s="11"/>
      <c r="S28" s="11"/>
      <c r="T28" s="11"/>
      <c r="U28" s="11"/>
      <c r="V28" s="11"/>
      <c r="W28" s="11"/>
      <c r="X28" s="11"/>
      <c r="Y28" s="11"/>
      <c r="Z28" s="11"/>
      <c r="AA28" s="11"/>
      <c r="AB28" s="11"/>
      <c r="AC28" s="11"/>
    </row>
    <row r="29">
      <c r="A29" s="12" t="s">
        <v>167</v>
      </c>
      <c r="B29" s="12" t="s">
        <v>168</v>
      </c>
      <c r="C29" s="16">
        <v>45881.0</v>
      </c>
      <c r="D29" s="18" t="s">
        <v>302</v>
      </c>
      <c r="E29" s="14">
        <v>41.85</v>
      </c>
      <c r="F29" s="14">
        <v>15.2</v>
      </c>
      <c r="G29" s="14">
        <v>19.7</v>
      </c>
      <c r="H29" s="14">
        <v>0.4707287933</v>
      </c>
      <c r="I29" s="12" t="s">
        <v>242</v>
      </c>
      <c r="J29" s="11"/>
      <c r="K29" s="12" t="s">
        <v>232</v>
      </c>
      <c r="L29" s="15" t="s">
        <v>303</v>
      </c>
      <c r="M29" s="15" t="s">
        <v>286</v>
      </c>
      <c r="N29" s="12" t="s">
        <v>245</v>
      </c>
      <c r="O29" s="12" t="s">
        <v>240</v>
      </c>
      <c r="P29" s="11"/>
      <c r="Q29" s="11"/>
      <c r="R29" s="11"/>
      <c r="S29" s="11"/>
      <c r="T29" s="11"/>
      <c r="U29" s="11"/>
      <c r="V29" s="11"/>
      <c r="W29" s="11"/>
      <c r="X29" s="11"/>
      <c r="Y29" s="11"/>
      <c r="Z29" s="11"/>
      <c r="AA29" s="11"/>
      <c r="AB29" s="11"/>
      <c r="AC29" s="11"/>
    </row>
    <row r="30">
      <c r="A30" s="12" t="s">
        <v>179</v>
      </c>
      <c r="B30" s="12" t="s">
        <v>180</v>
      </c>
      <c r="C30" s="16">
        <v>45887.0</v>
      </c>
      <c r="D30" s="12" t="s">
        <v>246</v>
      </c>
      <c r="E30" s="14">
        <v>46.95</v>
      </c>
      <c r="F30" s="14">
        <v>15.9</v>
      </c>
      <c r="G30" s="14">
        <v>20.1</v>
      </c>
      <c r="H30" s="14">
        <v>0.428115016</v>
      </c>
      <c r="I30" s="12" t="s">
        <v>242</v>
      </c>
      <c r="J30" s="11"/>
      <c r="K30" s="12" t="s">
        <v>232</v>
      </c>
      <c r="L30" s="15" t="s">
        <v>304</v>
      </c>
      <c r="M30" s="15" t="s">
        <v>286</v>
      </c>
      <c r="N30" s="12" t="s">
        <v>235</v>
      </c>
      <c r="O30" s="12" t="s">
        <v>240</v>
      </c>
      <c r="P30" s="11"/>
      <c r="Q30" s="11"/>
      <c r="R30" s="11"/>
      <c r="S30" s="11"/>
      <c r="T30" s="11"/>
      <c r="U30" s="11"/>
      <c r="V30" s="11"/>
      <c r="W30" s="11"/>
      <c r="X30" s="11"/>
      <c r="Y30" s="11"/>
      <c r="Z30" s="11"/>
      <c r="AA30" s="11"/>
      <c r="AB30" s="11"/>
      <c r="AC30" s="11"/>
    </row>
    <row r="31">
      <c r="A31" s="12" t="s">
        <v>92</v>
      </c>
      <c r="B31" s="12" t="s">
        <v>93</v>
      </c>
      <c r="C31" s="16">
        <v>45887.0</v>
      </c>
      <c r="D31" s="12" t="s">
        <v>246</v>
      </c>
      <c r="E31" s="14">
        <v>47.82</v>
      </c>
      <c r="F31" s="14">
        <v>20.1</v>
      </c>
      <c r="G31" s="14">
        <v>16.2</v>
      </c>
      <c r="H31" s="14">
        <v>0.338770389</v>
      </c>
      <c r="I31" s="12" t="s">
        <v>242</v>
      </c>
      <c r="J31" s="11"/>
      <c r="K31" s="12" t="s">
        <v>232</v>
      </c>
      <c r="L31" s="15" t="s">
        <v>305</v>
      </c>
      <c r="M31" s="15" t="s">
        <v>286</v>
      </c>
      <c r="N31" s="12" t="s">
        <v>245</v>
      </c>
      <c r="O31" s="12" t="s">
        <v>240</v>
      </c>
      <c r="P31" s="11"/>
      <c r="Q31" s="11"/>
      <c r="R31" s="11"/>
      <c r="S31" s="11"/>
      <c r="T31" s="11"/>
      <c r="U31" s="11"/>
      <c r="V31" s="11"/>
      <c r="W31" s="11"/>
      <c r="X31" s="11"/>
      <c r="Y31" s="11"/>
      <c r="Z31" s="11"/>
      <c r="AA31" s="11"/>
      <c r="AB31" s="11"/>
      <c r="AC31" s="11"/>
    </row>
    <row r="32">
      <c r="A32" s="12" t="s">
        <v>106</v>
      </c>
      <c r="B32" s="12" t="s">
        <v>107</v>
      </c>
      <c r="C32" s="16">
        <v>45887.0</v>
      </c>
      <c r="D32" s="12" t="s">
        <v>246</v>
      </c>
      <c r="E32" s="14">
        <v>44.33</v>
      </c>
      <c r="F32" s="14">
        <v>17.3</v>
      </c>
      <c r="G32" s="14">
        <v>14.0</v>
      </c>
      <c r="H32" s="14">
        <v>0.315813219</v>
      </c>
      <c r="I32" s="12" t="s">
        <v>231</v>
      </c>
      <c r="J32" s="11"/>
      <c r="K32" s="12" t="s">
        <v>232</v>
      </c>
      <c r="L32" s="15" t="s">
        <v>306</v>
      </c>
      <c r="M32" s="15" t="s">
        <v>286</v>
      </c>
      <c r="N32" s="12" t="s">
        <v>235</v>
      </c>
      <c r="O32" s="12" t="s">
        <v>240</v>
      </c>
      <c r="P32" s="11"/>
      <c r="Q32" s="11"/>
      <c r="R32" s="11"/>
      <c r="S32" s="11"/>
      <c r="T32" s="11"/>
      <c r="U32" s="11"/>
      <c r="V32" s="11"/>
      <c r="W32" s="11"/>
      <c r="X32" s="11"/>
      <c r="Y32" s="11"/>
      <c r="Z32" s="11"/>
      <c r="AA32" s="11"/>
      <c r="AB32" s="11"/>
      <c r="AC32" s="11"/>
    </row>
    <row r="33">
      <c r="A33" s="12" t="s">
        <v>159</v>
      </c>
      <c r="B33" s="12" t="s">
        <v>160</v>
      </c>
      <c r="C33" s="16">
        <v>45875.0</v>
      </c>
      <c r="D33" s="12" t="s">
        <v>238</v>
      </c>
      <c r="E33" s="14">
        <v>48.47</v>
      </c>
      <c r="F33" s="14">
        <v>18.6</v>
      </c>
      <c r="G33" s="14">
        <v>22.0</v>
      </c>
      <c r="H33" s="14">
        <v>0.4538890035</v>
      </c>
      <c r="I33" s="12" t="s">
        <v>242</v>
      </c>
      <c r="J33" s="11"/>
      <c r="K33" s="12" t="s">
        <v>232</v>
      </c>
      <c r="L33" s="15" t="s">
        <v>307</v>
      </c>
      <c r="M33" s="15" t="s">
        <v>259</v>
      </c>
      <c r="N33" s="12" t="s">
        <v>235</v>
      </c>
      <c r="O33" s="12" t="s">
        <v>240</v>
      </c>
      <c r="P33" s="11"/>
      <c r="Q33" s="11"/>
      <c r="R33" s="11"/>
      <c r="S33" s="11"/>
      <c r="T33" s="11"/>
      <c r="U33" s="11"/>
      <c r="V33" s="11"/>
      <c r="W33" s="11"/>
      <c r="X33" s="11"/>
      <c r="Y33" s="11"/>
      <c r="Z33" s="11"/>
      <c r="AA33" s="11"/>
      <c r="AB33" s="11"/>
      <c r="AC33" s="11"/>
    </row>
    <row r="34">
      <c r="A34" s="12" t="s">
        <v>145</v>
      </c>
      <c r="B34" s="12" t="s">
        <v>146</v>
      </c>
      <c r="C34" s="16">
        <v>45875.0</v>
      </c>
      <c r="D34" s="12" t="s">
        <v>238</v>
      </c>
      <c r="E34" s="14">
        <v>46.37</v>
      </c>
      <c r="F34" s="14">
        <v>15.6</v>
      </c>
      <c r="G34" s="14">
        <v>26.5</v>
      </c>
      <c r="H34" s="14">
        <v>0.5714901876</v>
      </c>
      <c r="I34" s="12" t="s">
        <v>242</v>
      </c>
      <c r="J34" s="11"/>
      <c r="K34" s="12" t="s">
        <v>232</v>
      </c>
      <c r="L34" s="15" t="s">
        <v>308</v>
      </c>
      <c r="M34" s="15" t="s">
        <v>259</v>
      </c>
      <c r="N34" s="12" t="s">
        <v>245</v>
      </c>
      <c r="O34" s="12" t="s">
        <v>240</v>
      </c>
      <c r="P34" s="11"/>
      <c r="Q34" s="12" t="s">
        <v>309</v>
      </c>
      <c r="R34" s="11"/>
      <c r="S34" s="11"/>
      <c r="T34" s="11"/>
      <c r="U34" s="11"/>
      <c r="V34" s="11"/>
      <c r="W34" s="11"/>
      <c r="X34" s="11"/>
      <c r="Y34" s="11"/>
      <c r="Z34" s="11"/>
      <c r="AA34" s="11"/>
      <c r="AB34" s="11"/>
      <c r="AC34" s="11"/>
    </row>
    <row r="35">
      <c r="A35" s="12" t="s">
        <v>133</v>
      </c>
      <c r="B35" s="12" t="s">
        <v>134</v>
      </c>
      <c r="C35" s="16">
        <v>45875.0</v>
      </c>
      <c r="D35" s="12" t="s">
        <v>238</v>
      </c>
      <c r="E35" s="14">
        <v>47.34</v>
      </c>
      <c r="F35" s="14">
        <v>14.6</v>
      </c>
      <c r="G35" s="14">
        <v>25.5</v>
      </c>
      <c r="H35" s="14">
        <v>0.5386565272</v>
      </c>
      <c r="I35" s="12" t="s">
        <v>242</v>
      </c>
      <c r="J35" s="11"/>
      <c r="K35" s="12" t="s">
        <v>232</v>
      </c>
      <c r="L35" s="15" t="s">
        <v>310</v>
      </c>
      <c r="M35" s="15" t="s">
        <v>259</v>
      </c>
      <c r="N35" s="12" t="s">
        <v>235</v>
      </c>
      <c r="O35" s="12" t="s">
        <v>240</v>
      </c>
      <c r="P35" s="11"/>
      <c r="Q35" s="11"/>
      <c r="R35" s="11"/>
      <c r="S35" s="11"/>
      <c r="T35" s="11"/>
      <c r="U35" s="11"/>
      <c r="V35" s="11"/>
      <c r="W35" s="11"/>
      <c r="X35" s="11"/>
      <c r="Y35" s="11"/>
      <c r="Z35" s="11"/>
      <c r="AA35" s="11"/>
      <c r="AB35" s="11"/>
      <c r="AC35" s="11"/>
    </row>
    <row r="36" hidden="1">
      <c r="A36" s="12" t="s">
        <v>171</v>
      </c>
      <c r="B36" s="12" t="s">
        <v>172</v>
      </c>
      <c r="C36" s="16">
        <v>45888.0</v>
      </c>
      <c r="D36" s="12" t="s">
        <v>246</v>
      </c>
      <c r="E36" s="14">
        <v>44.75</v>
      </c>
      <c r="F36" s="14">
        <v>14.7</v>
      </c>
      <c r="G36" s="14">
        <v>17.2</v>
      </c>
      <c r="H36" s="14">
        <v>0.3843575419</v>
      </c>
      <c r="I36" s="12" t="s">
        <v>231</v>
      </c>
      <c r="J36" s="11"/>
      <c r="K36" s="12" t="s">
        <v>248</v>
      </c>
      <c r="L36" s="15" t="s">
        <v>311</v>
      </c>
      <c r="M36" s="15" t="s">
        <v>259</v>
      </c>
      <c r="N36" s="12" t="s">
        <v>245</v>
      </c>
      <c r="O36" s="12" t="s">
        <v>283</v>
      </c>
      <c r="P36" s="11"/>
      <c r="Q36" s="12" t="s">
        <v>312</v>
      </c>
      <c r="R36" s="11"/>
      <c r="S36" s="11"/>
      <c r="T36" s="11"/>
      <c r="U36" s="11"/>
      <c r="V36" s="11"/>
      <c r="W36" s="11"/>
      <c r="X36" s="11"/>
      <c r="Y36" s="11"/>
      <c r="Z36" s="11"/>
      <c r="AA36" s="11"/>
      <c r="AB36" s="11"/>
      <c r="AC36" s="11"/>
    </row>
    <row r="37">
      <c r="A37" s="12" t="s">
        <v>129</v>
      </c>
      <c r="B37" s="12" t="s">
        <v>130</v>
      </c>
      <c r="C37" s="16">
        <v>45884.0</v>
      </c>
      <c r="D37" s="12" t="s">
        <v>230</v>
      </c>
      <c r="E37" s="14">
        <v>41.17</v>
      </c>
      <c r="F37" s="14">
        <v>15.5</v>
      </c>
      <c r="G37" s="14">
        <v>13.7</v>
      </c>
      <c r="H37" s="14">
        <v>0.3327665776</v>
      </c>
      <c r="I37" s="12" t="s">
        <v>242</v>
      </c>
      <c r="J37" s="11"/>
      <c r="K37" s="12" t="s">
        <v>232</v>
      </c>
      <c r="L37" s="15" t="s">
        <v>313</v>
      </c>
      <c r="M37" s="15" t="s">
        <v>259</v>
      </c>
      <c r="N37" s="12" t="s">
        <v>235</v>
      </c>
      <c r="O37" s="12" t="s">
        <v>240</v>
      </c>
      <c r="P37" s="11"/>
      <c r="Q37" s="11"/>
      <c r="R37" s="11"/>
      <c r="S37" s="11"/>
      <c r="T37" s="11"/>
      <c r="U37" s="11"/>
      <c r="V37" s="11"/>
      <c r="W37" s="11"/>
      <c r="X37" s="11"/>
      <c r="Y37" s="11"/>
      <c r="Z37" s="11"/>
      <c r="AA37" s="11"/>
      <c r="AB37" s="11"/>
      <c r="AC37" s="11"/>
    </row>
    <row r="38">
      <c r="A38" s="12" t="s">
        <v>64</v>
      </c>
      <c r="B38" s="12" t="s">
        <v>65</v>
      </c>
      <c r="C38" s="16">
        <v>45875.0</v>
      </c>
      <c r="D38" s="12" t="s">
        <v>238</v>
      </c>
      <c r="E38" s="14">
        <v>45.16</v>
      </c>
      <c r="F38" s="14">
        <v>14.6</v>
      </c>
      <c r="G38" s="14">
        <v>26.5</v>
      </c>
      <c r="H38" s="14">
        <v>0.5868024801</v>
      </c>
      <c r="I38" s="12" t="s">
        <v>242</v>
      </c>
      <c r="J38" s="11"/>
      <c r="K38" s="12" t="s">
        <v>232</v>
      </c>
      <c r="L38" s="15" t="s">
        <v>314</v>
      </c>
      <c r="M38" s="12" t="s">
        <v>274</v>
      </c>
      <c r="N38" s="12" t="s">
        <v>235</v>
      </c>
      <c r="O38" s="12" t="s">
        <v>240</v>
      </c>
      <c r="P38" s="11"/>
      <c r="Q38" s="11"/>
      <c r="R38" s="11"/>
      <c r="S38" s="11"/>
      <c r="T38" s="11"/>
      <c r="U38" s="11"/>
      <c r="V38" s="11"/>
      <c r="W38" s="11"/>
      <c r="X38" s="11"/>
      <c r="Y38" s="11"/>
      <c r="Z38" s="11"/>
      <c r="AA38" s="11"/>
      <c r="AB38" s="11"/>
      <c r="AC38" s="11"/>
    </row>
    <row r="39">
      <c r="A39" s="12" t="s">
        <v>155</v>
      </c>
      <c r="B39" s="12" t="s">
        <v>156</v>
      </c>
      <c r="C39" s="16">
        <v>45875.0</v>
      </c>
      <c r="D39" s="12" t="s">
        <v>238</v>
      </c>
      <c r="E39" s="14">
        <v>46.38</v>
      </c>
      <c r="F39" s="14">
        <v>13.3</v>
      </c>
      <c r="G39" s="14">
        <v>24.8</v>
      </c>
      <c r="H39" s="14">
        <v>0.5347132385</v>
      </c>
      <c r="I39" s="12" t="s">
        <v>242</v>
      </c>
      <c r="J39" s="11"/>
      <c r="K39" s="12" t="s">
        <v>232</v>
      </c>
      <c r="L39" s="15" t="s">
        <v>315</v>
      </c>
      <c r="M39" s="15" t="s">
        <v>274</v>
      </c>
      <c r="N39" s="12" t="s">
        <v>235</v>
      </c>
      <c r="O39" s="12" t="s">
        <v>240</v>
      </c>
      <c r="P39" s="11"/>
      <c r="Q39" s="11"/>
      <c r="R39" s="11"/>
      <c r="S39" s="11"/>
      <c r="T39" s="11"/>
      <c r="U39" s="11"/>
      <c r="V39" s="11"/>
      <c r="W39" s="11"/>
      <c r="X39" s="11"/>
      <c r="Y39" s="11"/>
      <c r="Z39" s="11"/>
      <c r="AA39" s="11"/>
      <c r="AB39" s="11"/>
      <c r="AC39" s="11"/>
    </row>
    <row r="40">
      <c r="A40" s="12" t="s">
        <v>54</v>
      </c>
      <c r="B40" s="12" t="s">
        <v>55</v>
      </c>
      <c r="C40" s="16">
        <v>45887.0</v>
      </c>
      <c r="D40" s="12" t="s">
        <v>246</v>
      </c>
      <c r="E40" s="14">
        <v>46.65</v>
      </c>
      <c r="F40" s="14">
        <v>18.2</v>
      </c>
      <c r="G40" s="14">
        <v>14.8</v>
      </c>
      <c r="H40" s="14">
        <v>0.3172561629</v>
      </c>
      <c r="I40" s="12" t="s">
        <v>242</v>
      </c>
      <c r="J40" s="11"/>
      <c r="K40" s="12" t="s">
        <v>232</v>
      </c>
      <c r="L40" s="15" t="s">
        <v>316</v>
      </c>
      <c r="M40" s="15" t="s">
        <v>274</v>
      </c>
      <c r="N40" s="12" t="s">
        <v>235</v>
      </c>
      <c r="O40" s="12" t="s">
        <v>240</v>
      </c>
      <c r="P40" s="11"/>
      <c r="Q40" s="11"/>
      <c r="R40" s="11"/>
      <c r="S40" s="11"/>
      <c r="T40" s="11"/>
      <c r="U40" s="11"/>
      <c r="V40" s="11"/>
      <c r="W40" s="11"/>
      <c r="X40" s="11"/>
      <c r="Y40" s="11"/>
      <c r="Z40" s="11"/>
      <c r="AA40" s="11"/>
      <c r="AB40" s="11"/>
      <c r="AC40" s="11"/>
    </row>
    <row r="41">
      <c r="A41" s="12" t="s">
        <v>149</v>
      </c>
      <c r="B41" s="12" t="s">
        <v>150</v>
      </c>
      <c r="C41" s="16">
        <v>45888.0</v>
      </c>
      <c r="D41" s="12" t="s">
        <v>246</v>
      </c>
      <c r="E41" s="14">
        <v>43.08</v>
      </c>
      <c r="F41" s="14">
        <v>14.2</v>
      </c>
      <c r="G41" s="14">
        <v>19.4</v>
      </c>
      <c r="H41" s="14">
        <v>0.4503249768</v>
      </c>
      <c r="I41" s="12" t="s">
        <v>231</v>
      </c>
      <c r="J41" s="11"/>
      <c r="K41" s="12" t="s">
        <v>232</v>
      </c>
      <c r="L41" s="17" t="s">
        <v>317</v>
      </c>
      <c r="M41" s="17" t="s">
        <v>274</v>
      </c>
      <c r="N41" s="12" t="s">
        <v>235</v>
      </c>
      <c r="O41" s="12" t="s">
        <v>240</v>
      </c>
      <c r="P41" s="11"/>
      <c r="Q41" s="11"/>
      <c r="R41" s="11"/>
      <c r="S41" s="11"/>
      <c r="T41" s="11"/>
      <c r="U41" s="11"/>
      <c r="V41" s="11"/>
      <c r="W41" s="11"/>
      <c r="X41" s="11"/>
      <c r="Y41" s="11"/>
      <c r="Z41" s="11"/>
      <c r="AA41" s="11"/>
      <c r="AB41" s="11"/>
      <c r="AC41" s="11"/>
    </row>
    <row r="42">
      <c r="A42" s="12" t="s">
        <v>84</v>
      </c>
      <c r="B42" s="12" t="s">
        <v>85</v>
      </c>
      <c r="C42" s="16">
        <v>45884.0</v>
      </c>
      <c r="D42" s="12" t="s">
        <v>230</v>
      </c>
      <c r="E42" s="14">
        <v>45.32</v>
      </c>
      <c r="F42" s="14">
        <v>15.2</v>
      </c>
      <c r="G42" s="14">
        <v>22.0</v>
      </c>
      <c r="H42" s="14">
        <v>0.4854368932</v>
      </c>
      <c r="I42" s="12" t="s">
        <v>231</v>
      </c>
      <c r="J42" s="11"/>
      <c r="K42" s="12" t="s">
        <v>232</v>
      </c>
      <c r="L42" s="12" t="s">
        <v>318</v>
      </c>
      <c r="M42" s="15" t="s">
        <v>274</v>
      </c>
      <c r="N42" s="12" t="s">
        <v>235</v>
      </c>
      <c r="O42" s="12" t="s">
        <v>240</v>
      </c>
      <c r="P42" s="12" t="s">
        <v>319</v>
      </c>
      <c r="Q42" s="11"/>
      <c r="R42" s="11"/>
      <c r="S42" s="11"/>
      <c r="T42" s="11"/>
      <c r="U42" s="11"/>
      <c r="V42" s="11"/>
      <c r="W42" s="11"/>
      <c r="X42" s="11"/>
      <c r="Y42" s="11"/>
      <c r="Z42" s="11"/>
      <c r="AA42" s="11"/>
      <c r="AB42" s="11"/>
      <c r="AC42" s="11"/>
    </row>
    <row r="43" hidden="1">
      <c r="A43" s="12" t="s">
        <v>137</v>
      </c>
      <c r="B43" s="12" t="s">
        <v>138</v>
      </c>
      <c r="C43" s="16">
        <v>45887.0</v>
      </c>
      <c r="D43" s="12" t="s">
        <v>246</v>
      </c>
      <c r="E43" s="14">
        <v>44.5</v>
      </c>
      <c r="F43" s="14">
        <v>14.5</v>
      </c>
      <c r="G43" s="14">
        <v>22.3</v>
      </c>
      <c r="H43" s="14">
        <v>0.5011235955</v>
      </c>
      <c r="I43" s="12" t="s">
        <v>231</v>
      </c>
      <c r="J43" s="11"/>
      <c r="K43" s="12" t="s">
        <v>232</v>
      </c>
      <c r="L43" s="12" t="s">
        <v>320</v>
      </c>
      <c r="M43" s="15" t="s">
        <v>274</v>
      </c>
      <c r="N43" s="12" t="s">
        <v>235</v>
      </c>
      <c r="O43" s="12" t="s">
        <v>321</v>
      </c>
      <c r="P43" s="12" t="s">
        <v>322</v>
      </c>
      <c r="Q43" s="12" t="s">
        <v>323</v>
      </c>
      <c r="R43" s="11"/>
      <c r="S43" s="11"/>
      <c r="T43" s="11"/>
      <c r="U43" s="11"/>
      <c r="V43" s="11"/>
      <c r="W43" s="11"/>
      <c r="X43" s="11"/>
      <c r="Y43" s="11"/>
      <c r="Z43" s="11"/>
      <c r="AA43" s="11"/>
      <c r="AB43" s="11"/>
      <c r="AC43" s="11"/>
    </row>
    <row r="44">
      <c r="A44" s="12" t="s">
        <v>68</v>
      </c>
      <c r="B44" s="12" t="s">
        <v>69</v>
      </c>
      <c r="C44" s="16">
        <v>45887.0</v>
      </c>
      <c r="D44" s="12" t="s">
        <v>246</v>
      </c>
      <c r="E44" s="14">
        <v>44.86</v>
      </c>
      <c r="F44" s="14">
        <v>16.2</v>
      </c>
      <c r="G44" s="14">
        <v>14.0</v>
      </c>
      <c r="H44" s="14">
        <v>0.312082033</v>
      </c>
      <c r="I44" s="12" t="s">
        <v>242</v>
      </c>
      <c r="J44" s="11"/>
      <c r="K44" s="12" t="s">
        <v>232</v>
      </c>
      <c r="L44" s="15" t="s">
        <v>324</v>
      </c>
      <c r="M44" s="15" t="s">
        <v>259</v>
      </c>
      <c r="N44" s="12" t="s">
        <v>245</v>
      </c>
      <c r="O44" s="12" t="s">
        <v>240</v>
      </c>
      <c r="P44" s="11"/>
      <c r="Q44" s="11"/>
      <c r="R44" s="11"/>
      <c r="S44" s="11"/>
      <c r="T44" s="11"/>
      <c r="U44" s="11"/>
      <c r="V44" s="11"/>
      <c r="W44" s="11"/>
      <c r="X44" s="11"/>
      <c r="Y44" s="11"/>
      <c r="Z44" s="11"/>
      <c r="AA44" s="11"/>
      <c r="AB44" s="11"/>
      <c r="AC44" s="11"/>
    </row>
    <row r="45" hidden="1">
      <c r="A45" s="12" t="s">
        <v>196</v>
      </c>
      <c r="B45" s="12" t="s">
        <v>197</v>
      </c>
      <c r="C45" s="16">
        <v>45888.0</v>
      </c>
      <c r="D45" s="12" t="s">
        <v>246</v>
      </c>
      <c r="E45" s="14">
        <v>45.73</v>
      </c>
      <c r="F45" s="14">
        <v>13.9</v>
      </c>
      <c r="G45" s="14">
        <v>20.2</v>
      </c>
      <c r="H45" s="14">
        <v>0.4417231577</v>
      </c>
      <c r="I45" s="12" t="s">
        <v>231</v>
      </c>
      <c r="J45" s="11"/>
      <c r="K45" s="12" t="s">
        <v>248</v>
      </c>
      <c r="L45" s="12" t="s">
        <v>325</v>
      </c>
      <c r="M45" s="15" t="s">
        <v>259</v>
      </c>
      <c r="N45" s="12" t="s">
        <v>235</v>
      </c>
      <c r="O45" s="12" t="s">
        <v>269</v>
      </c>
      <c r="P45" s="12" t="s">
        <v>326</v>
      </c>
      <c r="Q45" s="12" t="s">
        <v>327</v>
      </c>
      <c r="R45" s="11"/>
      <c r="S45" s="11"/>
      <c r="T45" s="11"/>
      <c r="U45" s="11"/>
      <c r="V45" s="11"/>
      <c r="W45" s="11"/>
      <c r="X45" s="11"/>
      <c r="Y45" s="11"/>
      <c r="Z45" s="11"/>
      <c r="AA45" s="11"/>
      <c r="AB45" s="11"/>
      <c r="AC45" s="11"/>
    </row>
    <row r="46" hidden="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row>
    <row r="47" hidden="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row>
    <row r="48" hidden="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row>
    <row r="49" hidden="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row>
    <row r="50" hidden="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row>
    <row r="51" hidden="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row>
    <row r="52" hidden="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row>
    <row r="53" hidden="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row>
    <row r="54" hidden="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row>
    <row r="55" hidden="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row>
    <row r="56" hidden="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row>
    <row r="57" hidden="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row>
    <row r="58" hidden="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row>
    <row r="59" hidden="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row>
    <row r="60" hidden="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row>
    <row r="61" hidden="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row>
    <row r="62" hidden="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row>
    <row r="63" hidden="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row>
    <row r="64" hidden="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row>
    <row r="65" hidden="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row>
    <row r="66" hidden="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row>
    <row r="67" hidden="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row>
    <row r="68" hidden="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row>
    <row r="69" hidden="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row>
    <row r="70" hidden="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row>
    <row r="71" hidden="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row>
    <row r="72" hidden="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row>
    <row r="73" hidden="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row>
    <row r="74" hidden="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row>
    <row r="75" hidden="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row>
    <row r="76" hidden="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row>
    <row r="77" hidden="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row>
    <row r="78" hidden="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row>
    <row r="79" hidden="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row>
    <row r="80" hidden="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row>
    <row r="81" hidden="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row>
    <row r="82" hidden="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row>
    <row r="83" hidden="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row>
    <row r="84" hidden="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row>
    <row r="85" hidden="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row>
    <row r="86" hidden="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row>
    <row r="87" hidden="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row>
    <row r="88" hidden="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row>
    <row r="89" hidden="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row>
    <row r="90" hidden="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row>
    <row r="91" hidden="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row>
    <row r="92" hidden="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row>
    <row r="93" hidden="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row>
    <row r="94" hidden="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row>
    <row r="95" hidden="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row>
    <row r="96" hidden="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row>
    <row r="97" hidden="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row>
    <row r="98" hidden="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row>
    <row r="99" hidden="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row>
    <row r="100" hidden="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row>
    <row r="101" hidden="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row>
    <row r="102" hidden="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row>
    <row r="103" hidden="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row>
    <row r="104" hidden="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row>
    <row r="105" hidden="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row>
    <row r="106" hidden="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row>
    <row r="107" hidden="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row>
    <row r="108" hidden="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row>
    <row r="109" hidden="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row>
    <row r="110" hidden="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row>
    <row r="111" hidden="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row>
    <row r="112" hidden="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row>
    <row r="113" hidden="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row>
    <row r="114" hidden="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row>
    <row r="115" hidden="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row>
    <row r="116" hidden="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row>
    <row r="117" hidden="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row>
    <row r="118" hidden="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row>
    <row r="119" hidden="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row>
    <row r="120" hidden="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row>
    <row r="121" hidden="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row>
    <row r="122" hidden="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row>
    <row r="123" hidden="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row>
    <row r="124" hidden="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row>
    <row r="125" hidden="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row>
    <row r="126" hidden="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row>
    <row r="127" hidden="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row>
    <row r="128" hidden="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row>
    <row r="129" hidden="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row>
    <row r="130" hidden="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row>
    <row r="131" hidden="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row>
    <row r="132" hidden="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row>
    <row r="133" hidden="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row>
    <row r="134" hidden="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row>
    <row r="135" hidden="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row>
    <row r="136" hidden="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row>
    <row r="137" hidden="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row>
    <row r="138" hidden="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row>
    <row r="139" hidden="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row>
    <row r="140" hidden="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row>
    <row r="141" hidden="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row>
    <row r="142" hidden="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row>
    <row r="143" hidden="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row>
    <row r="144" hidden="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row>
    <row r="145" hidden="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row>
    <row r="146" hidden="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row>
    <row r="147" hidden="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row>
    <row r="148" hidden="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row>
    <row r="149" hidden="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row>
    <row r="150" hidden="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row>
    <row r="151" hidden="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row>
    <row r="152" hidden="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row>
    <row r="153" hidden="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row>
    <row r="154" hidden="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row>
    <row r="155" hidden="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row>
    <row r="156" hidden="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row>
    <row r="157" hidden="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row>
    <row r="158" hidden="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row>
    <row r="159" hidden="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row>
    <row r="160" hidden="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row>
    <row r="161" hidden="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row>
    <row r="162" hidden="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row>
    <row r="163" hidden="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row>
    <row r="164" hidden="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row>
    <row r="165" hidden="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row>
    <row r="166" hidden="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row>
    <row r="167" hidden="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row>
    <row r="168" hidden="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row>
    <row r="169" hidden="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row>
    <row r="170" hidden="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row>
    <row r="171" hidden="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row>
    <row r="172" hidden="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row>
    <row r="173" hidden="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row>
    <row r="174" hidden="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row>
    <row r="175" hidden="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row>
    <row r="176" hidden="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row>
    <row r="177" hidden="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row>
    <row r="178" hidden="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row>
    <row r="179" hidden="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row>
    <row r="180" hidden="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row>
    <row r="181" hidden="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row>
    <row r="182" hidden="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row>
    <row r="183" hidden="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row>
    <row r="184" hidden="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row>
    <row r="185" hidden="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row>
    <row r="186" hidden="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row>
    <row r="187" hidden="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row>
    <row r="188" hidden="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row>
    <row r="189" hidden="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row>
    <row r="190" hidden="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row>
    <row r="191" hidden="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row>
    <row r="192" hidden="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row>
    <row r="193" hidden="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row>
    <row r="194" hidden="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row>
    <row r="195" hidden="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row>
    <row r="196" hidden="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row>
    <row r="197" hidden="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row>
    <row r="198" hidden="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row>
    <row r="199" hidden="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row>
    <row r="200" hidden="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row>
    <row r="201" hidden="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row>
    <row r="202" hidden="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row>
    <row r="203" hidden="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row>
    <row r="204" hidden="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row>
    <row r="205" hidden="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row>
    <row r="206" hidden="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row>
    <row r="207" hidden="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row>
    <row r="208" hidden="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row>
    <row r="209" hidden="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row>
    <row r="210" hidden="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row>
    <row r="211" hidden="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row>
    <row r="212" hidden="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row>
    <row r="213" hidden="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row>
    <row r="214" hidden="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row>
    <row r="215" hidden="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row>
    <row r="216" hidden="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row>
    <row r="217" hidden="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row>
    <row r="218" hidden="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row>
    <row r="219" hidden="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row>
    <row r="220" hidden="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row>
    <row r="221" hidden="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row>
    <row r="222" hidden="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row>
    <row r="223" hidden="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row>
    <row r="224" hidden="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row>
    <row r="225" hidden="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row>
    <row r="226" hidden="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row>
    <row r="227" hidden="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row>
    <row r="228" hidden="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row>
    <row r="229" hidden="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row>
    <row r="230" hidden="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row>
    <row r="231" hidden="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row>
    <row r="232" hidden="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row>
    <row r="233" hidden="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row>
    <row r="234" hidden="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row>
    <row r="235" hidden="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row>
    <row r="236" hidden="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row>
    <row r="237" hidden="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row>
    <row r="238" hidden="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row>
    <row r="239" hidden="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row>
    <row r="240" hidden="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row>
    <row r="241" hidden="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row>
    <row r="242" hidden="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row>
    <row r="243" hidden="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row>
    <row r="244" hidden="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row>
    <row r="245" hidden="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row>
    <row r="246" hidden="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row>
    <row r="247" hidden="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row>
    <row r="248" hidden="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row>
    <row r="249" hidden="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row>
    <row r="250" hidden="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row>
    <row r="251" hidden="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row>
    <row r="252" hidden="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row>
    <row r="253" hidden="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row>
    <row r="254" hidden="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row>
    <row r="255" hidden="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row>
    <row r="256" hidden="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row>
    <row r="257" hidden="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row>
    <row r="258" hidden="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row>
    <row r="259" hidden="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row>
    <row r="260" hidden="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row>
    <row r="261" hidden="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row>
    <row r="262" hidden="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row>
    <row r="263" hidden="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row>
    <row r="264" hidden="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row>
    <row r="265" hidden="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row>
    <row r="266" hidden="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row>
    <row r="267" hidden="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row>
    <row r="268" hidden="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row>
    <row r="269" hidden="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row>
    <row r="270" hidden="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row>
    <row r="271" hidden="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row>
    <row r="272" hidden="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row>
    <row r="273" hidden="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row>
    <row r="274" hidden="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row>
    <row r="275" hidden="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row>
    <row r="276" hidden="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row>
    <row r="277" hidden="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row>
    <row r="278" hidden="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row>
    <row r="279" hidden="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row>
    <row r="280" hidden="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row>
    <row r="281" hidden="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row>
    <row r="282" hidden="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row>
    <row r="283" hidden="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row>
    <row r="284" hidden="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row>
    <row r="285" hidden="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row>
    <row r="286" hidden="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row>
    <row r="287" hidden="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row>
    <row r="288" hidden="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row>
    <row r="289" hidden="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row>
    <row r="290" hidden="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row>
    <row r="291" hidden="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row>
    <row r="292" hidden="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row>
    <row r="293" hidden="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row>
    <row r="294" hidden="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row>
    <row r="295" hidden="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row>
    <row r="296" hidden="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row>
    <row r="297" hidden="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row>
    <row r="298" hidden="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row>
    <row r="299" hidden="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row>
    <row r="300" hidden="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row>
    <row r="301" hidden="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row>
    <row r="302" hidden="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row>
    <row r="303" hidden="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row>
    <row r="304" hidden="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row>
    <row r="305" hidden="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row>
    <row r="306" hidden="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row>
    <row r="307" hidden="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row>
    <row r="308" hidden="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row>
    <row r="309" hidden="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row>
    <row r="310" hidden="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row>
    <row r="311" hidden="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row>
    <row r="312" hidden="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row>
    <row r="313" hidden="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row>
    <row r="314" hidden="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row>
    <row r="315" hidden="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row>
    <row r="316" hidden="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row>
    <row r="317" hidden="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row>
    <row r="318" hidden="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row>
    <row r="319" hidden="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row>
    <row r="320" hidden="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row>
    <row r="321" hidden="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row>
    <row r="322" hidden="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row>
    <row r="323" hidden="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row>
    <row r="324" hidden="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row>
    <row r="325" hidden="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row>
    <row r="326" hidden="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row>
    <row r="327" hidden="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row>
    <row r="328" hidden="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row>
    <row r="329" hidden="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row>
    <row r="330" hidden="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row>
    <row r="331" hidden="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row>
    <row r="332" hidden="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row>
    <row r="333" hidden="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row>
    <row r="334" hidden="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row>
    <row r="335" hidden="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row>
    <row r="336" hidden="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row>
    <row r="337" hidden="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row>
    <row r="338" hidden="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row>
    <row r="339" hidden="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row>
    <row r="340" hidden="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row>
    <row r="341" hidden="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row>
    <row r="342" hidden="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row>
    <row r="343" hidden="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row>
    <row r="344" hidden="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row>
    <row r="345" hidden="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row>
    <row r="346" hidden="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row>
    <row r="347" hidden="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row>
    <row r="348" hidden="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row>
    <row r="349" hidden="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row>
    <row r="350" hidden="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row>
    <row r="351" hidden="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row>
    <row r="352" hidden="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row>
    <row r="353" hidden="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row>
    <row r="354" hidden="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row>
    <row r="355" hidden="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row>
    <row r="356" hidden="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row>
    <row r="357" hidden="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row>
    <row r="358" hidden="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row>
    <row r="359" hidden="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row>
    <row r="360" hidden="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row>
    <row r="361" hidden="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row>
    <row r="362" hidden="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row>
    <row r="363" hidden="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row>
    <row r="364" hidden="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row>
    <row r="365" hidden="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row>
    <row r="366" hidden="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row>
    <row r="367" hidden="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row>
    <row r="368" hidden="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row>
    <row r="369" hidden="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row>
    <row r="370" hidden="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row>
    <row r="371" hidden="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row>
    <row r="372" hidden="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row>
    <row r="373" hidden="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row>
    <row r="374" hidden="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row>
    <row r="375" hidden="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row>
    <row r="376" hidden="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row>
    <row r="377" hidden="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row>
    <row r="378" hidden="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row>
    <row r="379" hidden="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row>
    <row r="380" hidden="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row>
    <row r="381" hidden="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row>
    <row r="382" hidden="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row>
    <row r="383" hidden="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row>
    <row r="384" hidden="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row>
    <row r="385" hidden="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row>
    <row r="386" hidden="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row>
    <row r="387" hidden="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row>
    <row r="388" hidden="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row>
    <row r="389" hidden="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row>
    <row r="390" hidden="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row>
    <row r="391" hidden="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row>
    <row r="392" hidden="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row>
    <row r="393" hidden="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row>
    <row r="394" hidden="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row>
    <row r="395" hidden="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row>
    <row r="396" hidden="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row>
    <row r="397" hidden="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row>
    <row r="398" hidden="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row>
    <row r="399" hidden="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row>
    <row r="400" hidden="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row>
    <row r="401" hidden="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row>
    <row r="402" hidden="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row>
    <row r="403" hidden="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row>
    <row r="404" hidden="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row>
    <row r="405" hidden="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row>
    <row r="406" hidden="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row>
    <row r="407" hidden="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row>
    <row r="408" hidden="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row>
    <row r="409" hidden="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row>
    <row r="410" hidden="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row>
    <row r="411" hidden="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row>
    <row r="412" hidden="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row>
    <row r="413" hidden="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row>
    <row r="414" hidden="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row>
    <row r="415" hidden="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row>
    <row r="416" hidden="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row>
    <row r="417" hidden="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row>
    <row r="418" hidden="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row>
    <row r="419" hidden="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row>
    <row r="420" hidden="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row>
    <row r="421" hidden="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row>
    <row r="422" hidden="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row>
    <row r="423" hidden="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row>
    <row r="424" hidden="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row>
    <row r="425" hidden="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row>
    <row r="426" hidden="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row>
    <row r="427" hidden="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row>
    <row r="428" hidden="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row>
    <row r="429" hidden="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row>
    <row r="430" hidden="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row>
    <row r="431" hidden="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row>
    <row r="432" hidden="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row>
    <row r="433" hidden="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row>
    <row r="434" hidden="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row>
    <row r="435" hidden="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row>
    <row r="436" hidden="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row>
    <row r="437" hidden="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row>
    <row r="438" hidden="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row>
    <row r="439" hidden="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row>
    <row r="440" hidden="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row>
    <row r="441" hidden="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row>
    <row r="442" hidden="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row>
    <row r="443" hidden="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row>
    <row r="444" hidden="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row>
    <row r="445" hidden="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row>
    <row r="446" hidden="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row>
    <row r="447" hidden="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row>
    <row r="448" hidden="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row>
    <row r="449" hidden="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row>
    <row r="450" hidden="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row>
    <row r="451" hidden="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row>
    <row r="452" hidden="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row>
    <row r="453" hidden="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row>
    <row r="454" hidden="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row>
    <row r="455" hidden="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row>
    <row r="456" hidden="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row>
    <row r="457" hidden="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row>
    <row r="458" hidden="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row>
    <row r="459" hidden="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row>
    <row r="460" hidden="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row>
    <row r="461" hidden="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row>
    <row r="462" hidden="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row>
    <row r="463" hidden="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row>
    <row r="464" hidden="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row>
    <row r="465" hidden="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row>
    <row r="466" hidden="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row>
    <row r="467" hidden="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row>
    <row r="468" hidden="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row>
    <row r="469" hidden="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row>
    <row r="470" hidden="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row>
    <row r="471" hidden="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row>
    <row r="472" hidden="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row>
    <row r="473" hidden="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row>
    <row r="474" hidden="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row>
    <row r="475" hidden="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row>
    <row r="476" hidden="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row>
    <row r="477" hidden="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row>
    <row r="478" hidden="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row>
    <row r="479" hidden="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row>
    <row r="480" hidden="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row>
    <row r="481" hidden="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row>
    <row r="482" hidden="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row>
    <row r="483" hidden="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row>
    <row r="484" hidden="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row>
    <row r="485" hidden="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row>
    <row r="486" hidden="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row>
    <row r="487" hidden="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row>
    <row r="488" hidden="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row>
    <row r="489" hidden="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row>
    <row r="490" hidden="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row>
    <row r="491" hidden="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row>
    <row r="492" hidden="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row>
    <row r="493" hidden="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row>
    <row r="494" hidden="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row>
    <row r="495" hidden="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row>
    <row r="496" hidden="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row>
    <row r="497" hidden="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row>
    <row r="498" hidden="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row>
    <row r="499" hidden="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row>
    <row r="500" hidden="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row>
    <row r="501" hidden="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row>
    <row r="502" hidden="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row>
    <row r="503" hidden="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row>
    <row r="504" hidden="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row>
    <row r="505" hidden="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row>
    <row r="506" hidden="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row>
    <row r="507" hidden="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row>
    <row r="508" hidden="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row>
    <row r="509" hidden="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row>
    <row r="510" hidden="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row>
    <row r="511" hidden="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row>
    <row r="512" hidden="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row>
    <row r="513" hidden="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row>
    <row r="514" hidden="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row>
    <row r="515" hidden="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row>
    <row r="516" hidden="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row>
    <row r="517" hidden="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row>
    <row r="518" hidden="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row>
    <row r="519" hidden="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row>
    <row r="520" hidden="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row>
    <row r="521" hidden="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row>
    <row r="522" hidden="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row>
    <row r="523" hidden="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row>
    <row r="524" hidden="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row>
    <row r="525" hidden="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row>
    <row r="526" hidden="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row>
    <row r="527" hidden="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row>
    <row r="528" hidden="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row>
    <row r="529" hidden="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row>
    <row r="530" hidden="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row>
    <row r="531" hidden="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row>
    <row r="532" hidden="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row>
    <row r="533" hidden="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row>
    <row r="534" hidden="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row>
    <row r="535" hidden="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row>
    <row r="536" hidden="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row>
    <row r="537" hidden="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row>
    <row r="538" hidden="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row>
    <row r="539" hidden="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row>
    <row r="540" hidden="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row>
    <row r="541" hidden="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row>
    <row r="542" hidden="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row>
    <row r="543" hidden="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row>
    <row r="544" hidden="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row>
    <row r="545" hidden="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row>
    <row r="546" hidden="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row>
    <row r="547" hidden="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row>
    <row r="548" hidden="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row>
    <row r="549" hidden="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row>
    <row r="550" hidden="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row>
    <row r="551" hidden="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row>
    <row r="552" hidden="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row>
    <row r="553" hidden="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row>
    <row r="554" hidden="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row>
    <row r="555" hidden="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row>
    <row r="556" hidden="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row>
    <row r="557" hidden="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row>
    <row r="558" hidden="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row>
    <row r="559" hidden="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row>
    <row r="560" hidden="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row>
    <row r="561" hidden="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row>
    <row r="562" hidden="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row>
    <row r="563" hidden="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row>
    <row r="564" hidden="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row>
    <row r="565" hidden="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row>
    <row r="566" hidden="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row>
    <row r="567" hidden="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row>
    <row r="568" hidden="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row>
    <row r="569" hidden="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row>
    <row r="570" hidden="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row>
    <row r="571" hidden="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row>
    <row r="572" hidden="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row>
    <row r="573" hidden="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row>
    <row r="574" hidden="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row>
    <row r="575" hidden="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row>
    <row r="576" hidden="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row>
    <row r="577" hidden="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row>
    <row r="578" hidden="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row>
    <row r="579" hidden="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row>
    <row r="580" hidden="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row>
    <row r="581" hidden="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row>
    <row r="582" hidden="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row>
    <row r="583" hidden="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row>
    <row r="584" hidden="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row>
    <row r="585" hidden="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row>
    <row r="586" hidden="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row>
    <row r="587" hidden="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row>
    <row r="588" hidden="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row>
    <row r="589" hidden="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row>
    <row r="590" hidden="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row>
    <row r="591" hidden="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row>
    <row r="592" hidden="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row>
    <row r="593" hidden="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row>
    <row r="594" hidden="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row>
    <row r="595" hidden="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row>
    <row r="596" hidden="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row>
    <row r="597" hidden="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row>
    <row r="598" hidden="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row>
    <row r="599" hidden="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row>
    <row r="600" hidden="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row>
    <row r="601" hidden="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row>
    <row r="602" hidden="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row>
    <row r="603" hidden="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row>
    <row r="604" hidden="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row>
    <row r="605" hidden="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row>
    <row r="606" hidden="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row>
    <row r="607" hidden="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row>
    <row r="608" hidden="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row>
    <row r="609" hidden="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row>
    <row r="610" hidden="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row>
    <row r="611" hidden="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row>
    <row r="612" hidden="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row>
    <row r="613" hidden="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row>
    <row r="614" hidden="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row>
    <row r="615" hidden="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row>
    <row r="616" hidden="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row>
    <row r="617" hidden="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row>
    <row r="618" hidden="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row>
    <row r="619" hidden="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row>
    <row r="620" hidden="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row>
    <row r="621" hidden="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row>
    <row r="622" hidden="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row>
    <row r="623" hidden="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row>
    <row r="624" hidden="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row>
    <row r="625" hidden="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row>
    <row r="626" hidden="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row>
    <row r="627" hidden="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row>
    <row r="628" hidden="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row>
    <row r="629" hidden="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row>
    <row r="630" hidden="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row>
    <row r="631" hidden="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row>
    <row r="632" hidden="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row>
    <row r="633" hidden="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row>
    <row r="634" hidden="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row>
    <row r="635" hidden="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row>
    <row r="636" hidden="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row>
    <row r="637" hidden="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row>
    <row r="638" hidden="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row>
    <row r="639" hidden="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row>
    <row r="640" hidden="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row>
    <row r="641" hidden="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row>
    <row r="642" hidden="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row>
    <row r="643" hidden="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row>
    <row r="644" hidden="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row>
    <row r="645" hidden="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row>
    <row r="646" hidden="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row>
    <row r="647" hidden="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row>
    <row r="648" hidden="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row>
    <row r="649" hidden="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row>
    <row r="650" hidden="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row>
    <row r="651" hidden="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row>
    <row r="652" hidden="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row>
    <row r="653" hidden="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row>
    <row r="654" hidden="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row>
    <row r="655" hidden="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row>
    <row r="656" hidden="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row>
    <row r="657" hidden="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row>
    <row r="658" hidden="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row>
    <row r="659" hidden="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row>
    <row r="660" hidden="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row>
    <row r="661" hidden="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row>
    <row r="662" hidden="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row>
    <row r="663" hidden="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row>
    <row r="664" hidden="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row>
    <row r="665" hidden="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row>
    <row r="666" hidden="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row>
    <row r="667" hidden="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row>
    <row r="668" hidden="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row>
    <row r="669" hidden="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row>
    <row r="670" hidden="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row>
    <row r="671" hidden="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row>
    <row r="672" hidden="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row>
    <row r="673" hidden="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row>
    <row r="674" hidden="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row>
    <row r="675" hidden="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row>
    <row r="676" hidden="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row>
    <row r="677" hidden="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row>
    <row r="678" hidden="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row>
    <row r="679" hidden="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row>
    <row r="680" hidden="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row>
    <row r="681" hidden="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row>
    <row r="682" hidden="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row>
    <row r="683" hidden="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row>
    <row r="684" hidden="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row>
    <row r="685" hidden="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row>
    <row r="686" hidden="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row>
    <row r="687" hidden="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row>
    <row r="688" hidden="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row>
    <row r="689" hidden="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row>
    <row r="690" hidden="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row>
    <row r="691" hidden="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row>
    <row r="692" hidden="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row>
    <row r="693" hidden="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row>
    <row r="694" hidden="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row>
    <row r="695" hidden="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row>
    <row r="696" hidden="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row>
    <row r="697" hidden="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row>
    <row r="698" hidden="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row>
    <row r="699" hidden="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row>
    <row r="700" hidden="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row>
    <row r="701" hidden="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row>
    <row r="702" hidden="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row>
    <row r="703" hidden="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row>
    <row r="704" hidden="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row>
    <row r="705" hidden="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row>
    <row r="706" hidden="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row>
    <row r="707" hidden="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row>
    <row r="708" hidden="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row>
    <row r="709" hidden="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row>
    <row r="710" hidden="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row>
    <row r="711" hidden="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row>
    <row r="712" hidden="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row>
    <row r="713" hidden="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row>
    <row r="714" hidden="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row>
    <row r="715" hidden="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row>
    <row r="716" hidden="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row>
    <row r="717" hidden="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row>
    <row r="718" hidden="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row>
    <row r="719" hidden="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row>
    <row r="720" hidden="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row>
    <row r="721" hidden="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row>
    <row r="722" hidden="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row>
    <row r="723" hidden="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row>
    <row r="724" hidden="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row>
    <row r="725" hidden="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row>
    <row r="726" hidden="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row>
    <row r="727" hidden="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row>
    <row r="728" hidden="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row>
    <row r="729" hidden="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row>
    <row r="730" hidden="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row>
    <row r="731" hidden="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row>
    <row r="732" hidden="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row>
    <row r="733" hidden="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row>
    <row r="734" hidden="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row>
    <row r="735" hidden="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row>
    <row r="736" hidden="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row>
    <row r="737" hidden="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row>
    <row r="738" hidden="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row>
    <row r="739" hidden="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row>
    <row r="740" hidden="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row>
    <row r="741" hidden="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row>
    <row r="742" hidden="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row>
    <row r="743" hidden="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row>
    <row r="744" hidden="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row>
    <row r="745" hidden="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row>
    <row r="746" hidden="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row>
    <row r="747" hidden="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row>
    <row r="748" hidden="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row>
    <row r="749" hidden="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row>
    <row r="750" hidden="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row>
    <row r="751" hidden="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row>
    <row r="752" hidden="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row>
    <row r="753" hidden="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row>
    <row r="754" hidden="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row>
    <row r="755" hidden="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row>
    <row r="756" hidden="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row>
    <row r="757" hidden="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row>
    <row r="758" hidden="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row>
    <row r="759" hidden="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row>
    <row r="760" hidden="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row>
    <row r="761" hidden="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row>
    <row r="762" hidden="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row>
    <row r="763" hidden="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row>
    <row r="764" hidden="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row>
    <row r="765" hidden="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row>
    <row r="766" hidden="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row>
    <row r="767" hidden="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row>
    <row r="768" hidden="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row>
    <row r="769" hidden="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row>
    <row r="770" hidden="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row>
    <row r="771" hidden="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row>
    <row r="772" hidden="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row>
    <row r="773" hidden="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row>
    <row r="774" hidden="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row>
    <row r="775" hidden="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row>
    <row r="776" hidden="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row>
    <row r="777" hidden="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row>
    <row r="778" hidden="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row>
    <row r="779" hidden="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row>
    <row r="780" hidden="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row>
    <row r="781" hidden="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row>
    <row r="782" hidden="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row>
    <row r="783" hidden="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row>
    <row r="784" hidden="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row>
    <row r="785" hidden="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row>
    <row r="786" hidden="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row>
    <row r="787" hidden="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row>
    <row r="788" hidden="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row>
    <row r="789" hidden="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row>
    <row r="790" hidden="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row>
    <row r="791" hidden="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row>
    <row r="792" hidden="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row>
    <row r="793" hidden="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row>
    <row r="794" hidden="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row>
    <row r="795" hidden="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row>
    <row r="796" hidden="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row>
    <row r="797" hidden="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row>
    <row r="798" hidden="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row>
    <row r="799" hidden="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row>
    <row r="800" hidden="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row>
    <row r="801" hidden="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row>
    <row r="802" hidden="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row>
    <row r="803" hidden="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row>
    <row r="804" hidden="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row>
    <row r="805" hidden="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row>
    <row r="806" hidden="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row>
    <row r="807" hidden="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row>
    <row r="808" hidden="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row>
    <row r="809" hidden="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row>
    <row r="810" hidden="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row>
    <row r="811" hidden="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row>
    <row r="812" hidden="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row>
    <row r="813" hidden="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row>
    <row r="814" hidden="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row>
    <row r="815" hidden="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row>
    <row r="816" hidden="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row>
    <row r="817" hidden="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row>
    <row r="818" hidden="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row>
    <row r="819" hidden="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row>
    <row r="820" hidden="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row>
    <row r="821" hidden="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row>
    <row r="822" hidden="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row>
    <row r="823" hidden="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row>
    <row r="824" hidden="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row>
    <row r="825" hidden="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row>
    <row r="826" hidden="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row>
    <row r="827" hidden="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row>
    <row r="828" hidden="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row>
    <row r="829" hidden="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row>
    <row r="830" hidden="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row>
    <row r="831" hidden="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row>
    <row r="832" hidden="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row>
    <row r="833" hidden="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row>
    <row r="834" hidden="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row>
    <row r="835" hidden="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row>
    <row r="836" hidden="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row>
    <row r="837" hidden="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row>
    <row r="838" hidden="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row>
    <row r="839" hidden="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row>
    <row r="840" hidden="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row>
    <row r="841" hidden="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row>
    <row r="842" hidden="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row>
    <row r="843" hidden="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row>
    <row r="844" hidden="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row>
    <row r="845" hidden="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row>
    <row r="846" hidden="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row>
    <row r="847" hidden="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row>
    <row r="848" hidden="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row>
    <row r="849" hidden="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row>
    <row r="850" hidden="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row>
    <row r="851" hidden="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row>
    <row r="852" hidden="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row>
    <row r="853" hidden="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row>
    <row r="854" hidden="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row>
    <row r="855" hidden="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row>
    <row r="856" hidden="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row>
    <row r="857" hidden="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row>
    <row r="858" hidden="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row>
    <row r="859" hidden="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row>
    <row r="860" hidden="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row>
    <row r="861" hidden="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row>
    <row r="862" hidden="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row>
    <row r="863" hidden="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row>
    <row r="864" hidden="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row>
    <row r="865" hidden="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row>
    <row r="866" hidden="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row>
    <row r="867" hidden="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row>
    <row r="868" hidden="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row>
    <row r="869" hidden="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row>
    <row r="870" hidden="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row>
    <row r="871" hidden="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row>
    <row r="872" hidden="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row>
    <row r="873" hidden="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row>
    <row r="874" hidden="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row>
    <row r="875" hidden="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row>
    <row r="876" hidden="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row>
    <row r="877" hidden="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row>
    <row r="878" hidden="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row>
    <row r="879" hidden="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row>
    <row r="880" hidden="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row>
    <row r="881" hidden="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row>
    <row r="882" hidden="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row>
    <row r="883" hidden="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row>
    <row r="884" hidden="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row>
    <row r="885" hidden="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row>
    <row r="886" hidden="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row>
    <row r="887" hidden="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row>
    <row r="888" hidden="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row>
    <row r="889" hidden="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row>
    <row r="890" hidden="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row>
    <row r="891" hidden="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row>
    <row r="892" hidden="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row>
    <row r="893" hidden="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row>
    <row r="894" hidden="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row>
    <row r="895" hidden="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row>
    <row r="896" hidden="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row>
    <row r="897" hidden="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row>
    <row r="898" hidden="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row>
    <row r="899" hidden="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row>
    <row r="900" hidden="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row>
    <row r="901" hidden="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row>
    <row r="902" hidden="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row>
    <row r="903" hidden="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row>
    <row r="904" hidden="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row>
    <row r="905" hidden="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row>
    <row r="906" hidden="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row>
    <row r="907" hidden="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row>
    <row r="908" hidden="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row>
    <row r="909" hidden="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row>
    <row r="910" hidden="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row>
    <row r="911" hidden="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row>
    <row r="912" hidden="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row>
    <row r="913" hidden="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row>
    <row r="914" hidden="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row>
    <row r="915" hidden="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row>
    <row r="916" hidden="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row>
    <row r="917" hidden="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row>
    <row r="918" hidden="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row>
    <row r="919" hidden="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row>
    <row r="920" hidden="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row>
    <row r="921" hidden="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row>
    <row r="922" hidden="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row>
    <row r="923" hidden="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row>
    <row r="924" hidden="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row>
    <row r="925" hidden="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row>
    <row r="926" hidden="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row>
    <row r="927" hidden="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row>
    <row r="928" hidden="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row>
    <row r="929" hidden="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row>
    <row r="930" hidden="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row>
    <row r="931" hidden="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row>
    <row r="932" hidden="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row>
    <row r="933" hidden="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row>
    <row r="934" hidden="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row>
    <row r="935" hidden="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row>
    <row r="936" hidden="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row>
    <row r="937" hidden="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row>
    <row r="938" hidden="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row>
    <row r="939" hidden="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row>
    <row r="940" hidden="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row>
    <row r="941" hidden="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row>
    <row r="942" hidden="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row>
    <row r="943" hidden="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row>
    <row r="944" hidden="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row>
    <row r="945" hidden="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row>
    <row r="946" hidden="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row>
    <row r="947" hidden="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row>
    <row r="948" hidden="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row>
    <row r="949" hidden="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row>
    <row r="950" hidden="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row>
    <row r="951" hidden="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row>
    <row r="952" hidden="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row>
    <row r="953" hidden="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row>
    <row r="954" hidden="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row>
    <row r="955" hidden="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row>
    <row r="956" hidden="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row>
    <row r="957" hidden="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row>
    <row r="958" hidden="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row>
    <row r="959" hidden="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row>
    <row r="960" hidden="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row>
    <row r="961" hidden="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row>
    <row r="962" hidden="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row>
    <row r="963" hidden="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row>
    <row r="964" hidden="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row>
    <row r="965" hidden="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row>
    <row r="966" hidden="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row>
    <row r="967" hidden="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row>
    <row r="968" hidden="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row>
    <row r="969" hidden="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row>
    <row r="970" hidden="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row>
    <row r="971" hidden="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row>
    <row r="972" hidden="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row>
    <row r="973" hidden="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row>
    <row r="974" hidden="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row>
    <row r="975" hidden="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row>
    <row r="976" hidden="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row>
    <row r="977" hidden="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row>
    <row r="978" hidden="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row>
    <row r="979" hidden="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row>
    <row r="980" hidden="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row>
    <row r="981" hidden="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row>
    <row r="982" hidden="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row>
    <row r="983" hidden="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row>
    <row r="984" hidden="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row>
    <row r="985" hidden="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row>
    <row r="986" hidden="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row>
    <row r="987" hidden="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row>
    <row r="988" hidden="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row>
    <row r="989" hidden="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row>
    <row r="990" hidden="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row>
    <row r="991" hidden="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row>
    <row r="992" hidden="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row>
    <row r="993" hidden="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row>
    <row r="994" hidden="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row>
    <row r="995" hidden="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row>
    <row r="996" hidden="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row>
    <row r="997" hidden="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row>
    <row r="998" hidden="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row>
    <row r="999" hidden="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row>
    <row r="1000" hidden="1"/>
  </sheetData>
  <autoFilter ref="$A$1:$AC$1000">
    <filterColumn colId="14">
      <filters>
        <filter val="D36"/>
      </filters>
    </filterColumn>
    <sortState ref="A1:AC1000">
      <sortCondition ref="M1:M1000"/>
    </sortState>
  </autoFilter>
  <drawing r:id="rId1"/>
</worksheet>
</file>