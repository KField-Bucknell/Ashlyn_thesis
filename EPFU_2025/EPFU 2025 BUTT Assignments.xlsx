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ocuments\Uganda\TemperatureLoggers\EPFU_2025\"/>
    </mc:Choice>
  </mc:AlternateContent>
  <xr:revisionPtr revIDLastSave="0" documentId="13_ncr:1_{066EF808-8CE3-43CD-95B5-CC4DF7A3C99A}" xr6:coauthVersionLast="47" xr6:coauthVersionMax="47" xr10:uidLastSave="{00000000-0000-0000-0000-000000000000}"/>
  <bookViews>
    <workbookView xWindow="-110" yWindow="-110" windowWidth="19420" windowHeight="12220" activeTab="1" xr2:uid="{00000000-000D-0000-FFFF-FFFF00000000}"/>
  </bookViews>
  <sheets>
    <sheet name="Database Info" sheetId="1" r:id="rId1"/>
    <sheet name="Loggers" sheetId="2" r:id="rId2"/>
    <sheet name="Pivot Table 2" sheetId="3" r:id="rId3"/>
    <sheet name="Metadata" sheetId="4" r:id="rId4"/>
  </sheets>
  <definedNames>
    <definedName name="_xlnm._FilterDatabase" localSheetId="1" hidden="1">Loggers!$A$1:$AG$1000</definedName>
    <definedName name="_xlnm._FilterDatabase" localSheetId="3" hidden="1">Metadata!$A$1:$AC$1000</definedName>
  </definedNames>
  <calcPr calcId="191029"/>
  <pivotCaches>
    <pivotCache cacheId="7"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2" l="1"/>
  <c r="G5" i="2"/>
  <c r="G6" i="2"/>
  <c r="G7" i="2"/>
  <c r="G8" i="2"/>
  <c r="G19" i="2"/>
  <c r="G10" i="2"/>
  <c r="G48" i="2"/>
  <c r="G12" i="2"/>
  <c r="G51" i="2"/>
  <c r="G53" i="2"/>
  <c r="G15" i="2"/>
  <c r="G16" i="2"/>
  <c r="G17" i="2"/>
  <c r="G22" i="2"/>
  <c r="G28" i="2"/>
  <c r="G49" i="2"/>
  <c r="G21" i="2"/>
  <c r="G52" i="2"/>
  <c r="G3" i="2"/>
  <c r="G20" i="2"/>
  <c r="G25" i="2"/>
  <c r="G26" i="2"/>
  <c r="G27" i="2"/>
  <c r="G23" i="2"/>
  <c r="G29" i="2"/>
  <c r="G24" i="2"/>
  <c r="G31" i="2"/>
  <c r="G32" i="2"/>
  <c r="G33" i="2"/>
  <c r="G42" i="2"/>
  <c r="G35" i="2"/>
  <c r="G57" i="2"/>
  <c r="G37" i="2"/>
  <c r="G38" i="2"/>
  <c r="G39" i="2"/>
  <c r="G40" i="2"/>
  <c r="G41" i="2"/>
  <c r="G14" i="2"/>
  <c r="G43" i="2"/>
  <c r="G44" i="2"/>
  <c r="G45" i="2"/>
  <c r="G46" i="2"/>
  <c r="G47" i="2"/>
  <c r="G30" i="2"/>
  <c r="G50" i="2"/>
  <c r="G55" i="2"/>
  <c r="G11" i="2"/>
  <c r="G13" i="2"/>
  <c r="G18" i="2"/>
  <c r="G34" i="2"/>
  <c r="G36" i="2"/>
  <c r="G56" i="2"/>
  <c r="G54" i="2"/>
  <c r="G58" i="2"/>
  <c r="G4" i="2"/>
  <c r="F9" i="2"/>
  <c r="F5" i="2"/>
  <c r="F6" i="2"/>
  <c r="F7" i="2"/>
  <c r="F8" i="2"/>
  <c r="F19" i="2"/>
  <c r="F10" i="2"/>
  <c r="F48" i="2"/>
  <c r="F12" i="2"/>
  <c r="F51" i="2"/>
  <c r="F53" i="2"/>
  <c r="F15" i="2"/>
  <c r="F16" i="2"/>
  <c r="F17" i="2"/>
  <c r="F22" i="2"/>
  <c r="F28" i="2"/>
  <c r="F49" i="2"/>
  <c r="F21" i="2"/>
  <c r="F52" i="2"/>
  <c r="F3" i="2"/>
  <c r="F20" i="2"/>
  <c r="F25" i="2"/>
  <c r="F26" i="2"/>
  <c r="F27" i="2"/>
  <c r="F23" i="2"/>
  <c r="F29" i="2"/>
  <c r="F24" i="2"/>
  <c r="F31" i="2"/>
  <c r="F32" i="2"/>
  <c r="F33" i="2"/>
  <c r="F42" i="2"/>
  <c r="F35" i="2"/>
  <c r="F57" i="2"/>
  <c r="F37" i="2"/>
  <c r="F38" i="2"/>
  <c r="F39" i="2"/>
  <c r="F40" i="2"/>
  <c r="F41" i="2"/>
  <c r="F14" i="2"/>
  <c r="F43" i="2"/>
  <c r="F44" i="2"/>
  <c r="F45" i="2"/>
  <c r="F46" i="2"/>
  <c r="F47" i="2"/>
  <c r="F30" i="2"/>
  <c r="F50" i="2"/>
  <c r="F55" i="2"/>
  <c r="F11" i="2"/>
  <c r="F13" i="2"/>
  <c r="F18" i="2"/>
  <c r="F34" i="2"/>
  <c r="F36" i="2"/>
  <c r="F56" i="2"/>
  <c r="F54" i="2"/>
  <c r="F58" i="2"/>
  <c r="F4" i="2"/>
  <c r="L54" i="2" a="1"/>
  <c r="L54" i="2" s="1"/>
  <c r="E54" i="2" a="1"/>
  <c r="E54" i="2" s="1"/>
  <c r="L36" i="2" a="1"/>
  <c r="L36" i="2" s="1"/>
  <c r="E36" i="2" a="1"/>
  <c r="E36" i="2" s="1"/>
  <c r="L34" i="2" a="1"/>
  <c r="L34" i="2" s="1"/>
  <c r="E34" i="2" a="1"/>
  <c r="E34" i="2" s="1"/>
  <c r="L18" i="2" a="1"/>
  <c r="L18" i="2" s="1"/>
  <c r="E18" i="2" a="1"/>
  <c r="E18" i="2" s="1"/>
  <c r="L13" i="2" a="1"/>
  <c r="L13" i="2" s="1"/>
  <c r="E13" i="2" a="1"/>
  <c r="E13" i="2" s="1"/>
  <c r="L11" i="2" a="1"/>
  <c r="L11" i="2" s="1"/>
  <c r="E11" i="2" a="1"/>
  <c r="E11" i="2" s="1"/>
  <c r="L55" i="2" a="1"/>
  <c r="L55" i="2" s="1"/>
  <c r="E55" i="2" a="1"/>
  <c r="E55" i="2" s="1"/>
  <c r="L50" i="2" a="1"/>
  <c r="L50" i="2" s="1"/>
  <c r="E50" i="2" a="1"/>
  <c r="E50" i="2" s="1"/>
  <c r="L30" i="2" a="1"/>
  <c r="L30" i="2" s="1"/>
  <c r="E30" i="2" a="1"/>
  <c r="E30" i="2" s="1"/>
  <c r="L47" i="2" a="1"/>
  <c r="L47" i="2" s="1"/>
  <c r="E47" i="2" a="1"/>
  <c r="E47" i="2" s="1"/>
  <c r="L46" i="2" a="1"/>
  <c r="L46" i="2" s="1"/>
  <c r="E46" i="2" a="1"/>
  <c r="E46" i="2" s="1"/>
  <c r="L45" i="2" a="1"/>
  <c r="L45" i="2" s="1"/>
  <c r="E45" i="2" a="1"/>
  <c r="E45" i="2" s="1"/>
  <c r="L44" i="2" a="1"/>
  <c r="L44" i="2" s="1"/>
  <c r="E44" i="2" a="1"/>
  <c r="E44" i="2" s="1"/>
  <c r="L43" i="2" a="1"/>
  <c r="L43" i="2" s="1"/>
  <c r="E43" i="2" a="1"/>
  <c r="E43" i="2" s="1"/>
  <c r="L14" i="2" a="1"/>
  <c r="L14" i="2" s="1"/>
  <c r="E14" i="2" a="1"/>
  <c r="E14" i="2" s="1"/>
  <c r="L41" i="2" a="1"/>
  <c r="L41" i="2" s="1"/>
  <c r="E41" i="2" a="1"/>
  <c r="E41" i="2" s="1"/>
  <c r="L40" i="2" a="1"/>
  <c r="L40" i="2" s="1"/>
  <c r="E40" i="2" a="1"/>
  <c r="E40" i="2" s="1"/>
  <c r="L39" i="2" a="1"/>
  <c r="L39" i="2" s="1"/>
  <c r="E39" i="2" a="1"/>
  <c r="E39" i="2" s="1"/>
  <c r="L38" i="2" a="1"/>
  <c r="L38" i="2" s="1"/>
  <c r="E38" i="2" a="1"/>
  <c r="E38" i="2" s="1"/>
  <c r="L37" i="2" a="1"/>
  <c r="L37" i="2" s="1"/>
  <c r="E37" i="2" a="1"/>
  <c r="E37" i="2" s="1"/>
  <c r="L57" i="2" a="1"/>
  <c r="L57" i="2" s="1"/>
  <c r="E57" i="2" a="1"/>
  <c r="E57" i="2" s="1"/>
  <c r="L35" i="2" a="1"/>
  <c r="L35" i="2" s="1"/>
  <c r="E35" i="2" a="1"/>
  <c r="E35" i="2" s="1"/>
  <c r="L42" i="2" a="1"/>
  <c r="L42" i="2" s="1"/>
  <c r="E42" i="2" a="1"/>
  <c r="E42" i="2" s="1"/>
  <c r="L33" i="2" a="1"/>
  <c r="L33" i="2" s="1"/>
  <c r="E33" i="2" a="1"/>
  <c r="E33" i="2" s="1"/>
  <c r="L32" i="2" a="1"/>
  <c r="L32" i="2" s="1"/>
  <c r="E32" i="2" a="1"/>
  <c r="E32" i="2" s="1"/>
  <c r="L31" i="2" a="1"/>
  <c r="L31" i="2" s="1"/>
  <c r="E31" i="2" a="1"/>
  <c r="E31" i="2" s="1"/>
  <c r="L24" i="2" a="1"/>
  <c r="L24" i="2" s="1"/>
  <c r="E24" i="2" a="1"/>
  <c r="E24" i="2" s="1"/>
  <c r="L29" i="2" a="1"/>
  <c r="L29" i="2" s="1"/>
  <c r="E29" i="2" a="1"/>
  <c r="E29" i="2" s="1"/>
  <c r="L23" i="2" a="1"/>
  <c r="L23" i="2" s="1"/>
  <c r="E23" i="2" a="1"/>
  <c r="E23" i="2" s="1"/>
  <c r="L27" i="2" a="1"/>
  <c r="L27" i="2" s="1"/>
  <c r="E27" i="2" a="1"/>
  <c r="E27" i="2" s="1"/>
  <c r="L26" i="2" a="1"/>
  <c r="L26" i="2" s="1"/>
  <c r="E26" i="2" a="1"/>
  <c r="E26" i="2" s="1"/>
  <c r="L25" i="2" a="1"/>
  <c r="L25" i="2" s="1"/>
  <c r="E25" i="2" a="1"/>
  <c r="E25" i="2" s="1"/>
  <c r="L20" i="2" a="1"/>
  <c r="L20" i="2" s="1"/>
  <c r="E20" i="2" a="1"/>
  <c r="E20" i="2" s="1"/>
  <c r="L3" i="2" a="1"/>
  <c r="L3" i="2" s="1"/>
  <c r="E3" i="2" a="1"/>
  <c r="E3" i="2" s="1"/>
  <c r="L52" i="2" a="1"/>
  <c r="L52" i="2" s="1"/>
  <c r="E52" i="2" a="1"/>
  <c r="E52" i="2" s="1"/>
  <c r="L21" i="2" a="1"/>
  <c r="L21" i="2" s="1"/>
  <c r="E21" i="2" a="1"/>
  <c r="E21" i="2" s="1"/>
  <c r="L49" i="2" a="1"/>
  <c r="L49" i="2" s="1"/>
  <c r="E49" i="2" a="1"/>
  <c r="E49" i="2" s="1"/>
  <c r="L28" i="2" a="1"/>
  <c r="L28" i="2" s="1"/>
  <c r="E28" i="2" a="1"/>
  <c r="E28" i="2" s="1"/>
  <c r="L22" i="2" a="1"/>
  <c r="L22" i="2" s="1"/>
  <c r="E22" i="2" a="1"/>
  <c r="E22" i="2" s="1"/>
  <c r="L17" i="2" a="1"/>
  <c r="L17" i="2" s="1"/>
  <c r="E17" i="2" a="1"/>
  <c r="E17" i="2" s="1"/>
  <c r="L16" i="2" a="1"/>
  <c r="L16" i="2" s="1"/>
  <c r="E16" i="2" a="1"/>
  <c r="E16" i="2" s="1"/>
  <c r="L15" i="2" a="1"/>
  <c r="L15" i="2" s="1"/>
  <c r="E15" i="2" a="1"/>
  <c r="E15" i="2" s="1"/>
  <c r="L53" i="2" a="1"/>
  <c r="L53" i="2" s="1"/>
  <c r="E53" i="2" a="1"/>
  <c r="E53" i="2" s="1"/>
  <c r="L51" i="2" a="1"/>
  <c r="L51" i="2" s="1"/>
  <c r="E51" i="2" a="1"/>
  <c r="E51" i="2" s="1"/>
  <c r="L48" i="2" a="1"/>
  <c r="L48" i="2" s="1"/>
  <c r="E48" i="2" a="1"/>
  <c r="E48" i="2" s="1"/>
  <c r="L10" i="2" a="1"/>
  <c r="L10" i="2" s="1"/>
  <c r="E10" i="2" a="1"/>
  <c r="E10" i="2" s="1"/>
  <c r="L19" i="2" a="1"/>
  <c r="L19" i="2" s="1"/>
  <c r="E19" i="2" a="1"/>
  <c r="E19" i="2" s="1"/>
  <c r="L8" i="2" a="1"/>
  <c r="L8" i="2" s="1"/>
  <c r="E8" i="2" a="1"/>
  <c r="E8" i="2" s="1"/>
  <c r="L7" i="2" a="1"/>
  <c r="L7" i="2" s="1"/>
  <c r="E7" i="2" a="1"/>
  <c r="E7" i="2" s="1"/>
  <c r="L6" i="2" a="1"/>
  <c r="L6" i="2" s="1"/>
  <c r="E6" i="2" a="1"/>
  <c r="E6" i="2" s="1"/>
  <c r="L5" i="2" a="1"/>
  <c r="L5" i="2" s="1"/>
  <c r="E5" i="2" a="1"/>
  <c r="E5" i="2" s="1"/>
  <c r="L9" i="2" a="1"/>
  <c r="L9" i="2" s="1"/>
  <c r="E9" i="2" a="1"/>
  <c r="E9" i="2" s="1"/>
  <c r="L4" i="2" a="1"/>
  <c r="L4" i="2" s="1"/>
  <c r="E4" i="2" a="1"/>
  <c r="E4" i="2" s="1"/>
  <c r="L2" i="2" a="1"/>
  <c r="L2" i="2" s="1"/>
  <c r="G2" i="2" a="1"/>
  <c r="G2" i="2" s="1"/>
  <c r="F2" i="2" a="1"/>
  <c r="F2" i="2" s="1"/>
  <c r="E2" i="2" a="1"/>
  <c r="E2" i="2" s="1"/>
</calcChain>
</file>

<file path=xl/sharedStrings.xml><?xml version="1.0" encoding="utf-8"?>
<sst xmlns="http://schemas.openxmlformats.org/spreadsheetml/2006/main" count="787" uniqueCount="341">
  <si>
    <t>Column 'Date Removed' is either termination date, date the bat died, or date the next logger was applied. Here just for general trimming in R</t>
  </si>
  <si>
    <t>Serial Number</t>
  </si>
  <si>
    <t>Logger Name</t>
  </si>
  <si>
    <t>Bat Band</t>
  </si>
  <si>
    <t>Bat Pittag</t>
  </si>
  <si>
    <t>Treatment</t>
  </si>
  <si>
    <t>Group</t>
  </si>
  <si>
    <t>Sex</t>
  </si>
  <si>
    <t>Date Attached</t>
  </si>
  <si>
    <t>Date Removed</t>
  </si>
  <si>
    <t xml:space="preserve">BUTT Status </t>
  </si>
  <si>
    <t>Experiment D Died</t>
  </si>
  <si>
    <t>Logger location</t>
  </si>
  <si>
    <t>Notes</t>
  </si>
  <si>
    <t xml:space="preserve"> </t>
  </si>
  <si>
    <t>1C00000081866F41</t>
  </si>
  <si>
    <t>A1</t>
  </si>
  <si>
    <t>DMR03190</t>
  </si>
  <si>
    <t>APS36067</t>
  </si>
  <si>
    <t>Downloaded</t>
  </si>
  <si>
    <t>7F000000818B3741</t>
  </si>
  <si>
    <t>A3</t>
  </si>
  <si>
    <t>DMR03191</t>
  </si>
  <si>
    <t>APS36108</t>
  </si>
  <si>
    <t>46000000811E9741</t>
  </si>
  <si>
    <t>A8</t>
  </si>
  <si>
    <t>DMR03182</t>
  </si>
  <si>
    <t>APS60132</t>
  </si>
  <si>
    <t>53000000811AC841</t>
  </si>
  <si>
    <t>A4</t>
  </si>
  <si>
    <t>DMR03154</t>
  </si>
  <si>
    <t>APS60123</t>
  </si>
  <si>
    <t>Missing</t>
  </si>
  <si>
    <t>A5</t>
  </si>
  <si>
    <t>DMR03162</t>
  </si>
  <si>
    <t>APS36106</t>
  </si>
  <si>
    <t>BB00000081230841</t>
  </si>
  <si>
    <t>A6</t>
  </si>
  <si>
    <t>DMR03161</t>
  </si>
  <si>
    <t>APS60125</t>
  </si>
  <si>
    <t>C5000000811EA541</t>
  </si>
  <si>
    <t>A7</t>
  </si>
  <si>
    <t>DMR03165</t>
  </si>
  <si>
    <t>APS60087</t>
  </si>
  <si>
    <t>CD00000081881A41</t>
  </si>
  <si>
    <t>B9</t>
  </si>
  <si>
    <t>DMR03158</t>
  </si>
  <si>
    <t>APS36010</t>
  </si>
  <si>
    <t>2D00000081244E41</t>
  </si>
  <si>
    <t>A9</t>
  </si>
  <si>
    <t>DMR03174</t>
  </si>
  <si>
    <t>APS60148</t>
  </si>
  <si>
    <t>No Data</t>
  </si>
  <si>
    <t>9A000000811E9341</t>
  </si>
  <si>
    <t>S2</t>
  </si>
  <si>
    <t>DMR03187</t>
  </si>
  <si>
    <t>APS36036</t>
  </si>
  <si>
    <t>Butt</t>
  </si>
  <si>
    <t>95000000811F7641</t>
  </si>
  <si>
    <t>B2</t>
  </si>
  <si>
    <t>NA</t>
  </si>
  <si>
    <t>Not used</t>
  </si>
  <si>
    <t>S5</t>
  </si>
  <si>
    <t>7D0000008122D241</t>
  </si>
  <si>
    <t>S7</t>
  </si>
  <si>
    <t>DMR03159</t>
  </si>
  <si>
    <t>APS36007</t>
  </si>
  <si>
    <t>Data messed up probably have to throw out</t>
  </si>
  <si>
    <t>1000000081241041</t>
  </si>
  <si>
    <t>B5</t>
  </si>
  <si>
    <t>DMR03175</t>
  </si>
  <si>
    <t>APS36101</t>
  </si>
  <si>
    <t>E500000081218941</t>
  </si>
  <si>
    <t>B6</t>
  </si>
  <si>
    <t>DMR03160</t>
  </si>
  <si>
    <t>APS60109</t>
  </si>
  <si>
    <t>6100000081222041</t>
  </si>
  <si>
    <t>B7</t>
  </si>
  <si>
    <t>DMR03195</t>
  </si>
  <si>
    <t>APS60081</t>
  </si>
  <si>
    <t>0C00000081829341</t>
  </si>
  <si>
    <t>C3</t>
  </si>
  <si>
    <t>DMR03193</t>
  </si>
  <si>
    <t>APS36008</t>
  </si>
  <si>
    <t>Some bad data points</t>
  </si>
  <si>
    <t>7E00000081837A41</t>
  </si>
  <si>
    <t>C9</t>
  </si>
  <si>
    <t>DMR03170</t>
  </si>
  <si>
    <t>APS60073</t>
  </si>
  <si>
    <t>D3000000811C3A41</t>
  </si>
  <si>
    <t>S3</t>
  </si>
  <si>
    <t>Same serial umber as K6</t>
  </si>
  <si>
    <t>BB000000818AFE41</t>
  </si>
  <si>
    <t>C2</t>
  </si>
  <si>
    <t>DMR03153</t>
  </si>
  <si>
    <t>APS60079</t>
  </si>
  <si>
    <t>S6</t>
  </si>
  <si>
    <t>CB0000008183CC41</t>
  </si>
  <si>
    <t>A2</t>
  </si>
  <si>
    <t>DMR03152</t>
  </si>
  <si>
    <t>APS36021</t>
  </si>
  <si>
    <t>AC00000081223941</t>
  </si>
  <si>
    <t>C1</t>
  </si>
  <si>
    <t>DMR03184</t>
  </si>
  <si>
    <t>APS60160</t>
  </si>
  <si>
    <t>3C000000811C1941</t>
  </si>
  <si>
    <t>C6</t>
  </si>
  <si>
    <t>DMR03164</t>
  </si>
  <si>
    <t>APS60088</t>
  </si>
  <si>
    <t>19000000811D8A41</t>
  </si>
  <si>
    <t>C7</t>
  </si>
  <si>
    <t>DMR03151</t>
  </si>
  <si>
    <t>APS36011</t>
  </si>
  <si>
    <t>BD000000811A6E41</t>
  </si>
  <si>
    <t>C8</t>
  </si>
  <si>
    <t>DMR03173</t>
  </si>
  <si>
    <t>APS60086</t>
  </si>
  <si>
    <t>9B000000811F0F41</t>
  </si>
  <si>
    <t>C4</t>
  </si>
  <si>
    <t>DMR03186</t>
  </si>
  <si>
    <t>APS36057</t>
  </si>
  <si>
    <t>60000000811CB941</t>
  </si>
  <si>
    <t>J1</t>
  </si>
  <si>
    <t>DMR03177</t>
  </si>
  <si>
    <t>APS36050</t>
  </si>
  <si>
    <t>1D00000081175641</t>
  </si>
  <si>
    <t>C5</t>
  </si>
  <si>
    <t>DMR03157</t>
  </si>
  <si>
    <t>APS60118</t>
  </si>
  <si>
    <t>06000000818A0441</t>
  </si>
  <si>
    <t>J3</t>
  </si>
  <si>
    <t>DMR03188</t>
  </si>
  <si>
    <t>APS36081</t>
  </si>
  <si>
    <t>E6000000811F0341</t>
  </si>
  <si>
    <t>J4</t>
  </si>
  <si>
    <t>DMR03166</t>
  </si>
  <si>
    <t>APS60100</t>
  </si>
  <si>
    <t>1200000081836B41</t>
  </si>
  <si>
    <t>J5</t>
  </si>
  <si>
    <t>DMR03168</t>
  </si>
  <si>
    <t>APS60115</t>
  </si>
  <si>
    <t>B40000008187B741</t>
  </si>
  <si>
    <t>K5</t>
  </si>
  <si>
    <t>DMR03183</t>
  </si>
  <si>
    <t>APS36026</t>
  </si>
  <si>
    <t>Some bad data</t>
  </si>
  <si>
    <t>B00000008121E041</t>
  </si>
  <si>
    <t>J7</t>
  </si>
  <si>
    <t>DMR03192</t>
  </si>
  <si>
    <t>APS60113</t>
  </si>
  <si>
    <t>V2</t>
  </si>
  <si>
    <t>8D000000818A7A41</t>
  </si>
  <si>
    <t>J9</t>
  </si>
  <si>
    <t>DMR03163</t>
  </si>
  <si>
    <t>APS60156</t>
  </si>
  <si>
    <t>2B0000008189E941</t>
  </si>
  <si>
    <t>K1</t>
  </si>
  <si>
    <t>DMR03171</t>
  </si>
  <si>
    <t>APS60134</t>
  </si>
  <si>
    <t>01000000811F6C41</t>
  </si>
  <si>
    <t>K2</t>
  </si>
  <si>
    <t>DMR03176</t>
  </si>
  <si>
    <t>APS60082</t>
  </si>
  <si>
    <t>K3</t>
  </si>
  <si>
    <t>DMR03189</t>
  </si>
  <si>
    <t>APS60112</t>
  </si>
  <si>
    <t>CB0000008181FE41</t>
  </si>
  <si>
    <t>K4</t>
  </si>
  <si>
    <t>DMR03178</t>
  </si>
  <si>
    <t>APS60141</t>
  </si>
  <si>
    <t>D8000000818C4541</t>
  </si>
  <si>
    <t>B4</t>
  </si>
  <si>
    <t>DMR03185</t>
  </si>
  <si>
    <t>APS36103</t>
  </si>
  <si>
    <t>K6</t>
  </si>
  <si>
    <t>DMR03179</t>
  </si>
  <si>
    <t>APS60065</t>
  </si>
  <si>
    <t>4D00000081190241</t>
  </si>
  <si>
    <t>K7</t>
  </si>
  <si>
    <t>3D000000818A6F41</t>
  </si>
  <si>
    <t>K8</t>
  </si>
  <si>
    <t>770000008187D741</t>
  </si>
  <si>
    <t>K9</t>
  </si>
  <si>
    <t>B5000000818B9E41</t>
  </si>
  <si>
    <t>S1</t>
  </si>
  <si>
    <t>DMR03194</t>
  </si>
  <si>
    <t>APS36027</t>
  </si>
  <si>
    <t>8C00000081197141</t>
  </si>
  <si>
    <t>J2</t>
  </si>
  <si>
    <t>DMR03172</t>
  </si>
  <si>
    <t>APS60074</t>
  </si>
  <si>
    <t>S4</t>
  </si>
  <si>
    <t>S9</t>
  </si>
  <si>
    <t>DF00000081814041</t>
  </si>
  <si>
    <t>B1</t>
  </si>
  <si>
    <t>DMR03181</t>
  </si>
  <si>
    <t>APS60135</t>
  </si>
  <si>
    <t>Off-centered</t>
  </si>
  <si>
    <t xml:space="preserve">Off-centered to avoid wound of pittag </t>
  </si>
  <si>
    <t>0700000081190F41</t>
  </si>
  <si>
    <t>B3</t>
  </si>
  <si>
    <t>DMR03155</t>
  </si>
  <si>
    <t>APS36033</t>
  </si>
  <si>
    <t>63000000811C2F41</t>
  </si>
  <si>
    <t>B8</t>
  </si>
  <si>
    <t>DMR03180</t>
  </si>
  <si>
    <t>APS60146</t>
  </si>
  <si>
    <t>1C000000811B7F41</t>
  </si>
  <si>
    <t>J6</t>
  </si>
  <si>
    <t>7E00000081224441</t>
  </si>
  <si>
    <t>J8</t>
  </si>
  <si>
    <t>DMR03156</t>
  </si>
  <si>
    <t>APS60111</t>
  </si>
  <si>
    <t>V1</t>
  </si>
  <si>
    <t>S8</t>
  </si>
  <si>
    <t>V3</t>
  </si>
  <si>
    <t xml:space="preserve">COUNTA of BUTT Status </t>
  </si>
  <si>
    <t>Grand Total</t>
  </si>
  <si>
    <t>Band #</t>
  </si>
  <si>
    <t>Pittag #</t>
  </si>
  <si>
    <t>Capture Date</t>
  </si>
  <si>
    <t>Capture Site</t>
  </si>
  <si>
    <t>FA length</t>
  </si>
  <si>
    <t>Inital Weight</t>
  </si>
  <si>
    <t>weights for group assignment</t>
  </si>
  <si>
    <t>BMI</t>
  </si>
  <si>
    <t>Rep Condition</t>
  </si>
  <si>
    <t>Status on 5-Sep, 2025</t>
  </si>
  <si>
    <t>group assignment data</t>
  </si>
  <si>
    <t>TREATMENT</t>
  </si>
  <si>
    <t>Date Died</t>
  </si>
  <si>
    <t>Scott's House</t>
  </si>
  <si>
    <t>Male</t>
  </si>
  <si>
    <t>Self feeding</t>
  </si>
  <si>
    <t>DMR03151 - BMI: 0.299258 (Male)</t>
  </si>
  <si>
    <t>Dual</t>
  </si>
  <si>
    <t>GP 2</t>
  </si>
  <si>
    <t>D21</t>
  </si>
  <si>
    <t>2-Oct: Put down</t>
  </si>
  <si>
    <t>DMR03152 - BMI: 0.531367 (Male)</t>
  </si>
  <si>
    <t>Primary</t>
  </si>
  <si>
    <t>D36</t>
  </si>
  <si>
    <t>DMR03153 - BMI: 0.476507 (Male)</t>
  </si>
  <si>
    <t>NoCo</t>
  </si>
  <si>
    <t>DMR03154 - BMI: 0.555945 (Male)</t>
  </si>
  <si>
    <t>SHAM</t>
  </si>
  <si>
    <t>GP 1</t>
  </si>
  <si>
    <t>Warriors Mark Farmhouse</t>
  </si>
  <si>
    <t>Female</t>
  </si>
  <si>
    <t>DMR03155 - BMI: 0.586802 (Female)</t>
  </si>
  <si>
    <t>DMR03156 - BMI: 0.534713 (Female)</t>
  </si>
  <si>
    <t>DMR03157 - BMI: 0.545334 (Male)</t>
  </si>
  <si>
    <t>DMR03158 - BMI: 0.357560 (Male)</t>
  </si>
  <si>
    <t>5-Sep: Noticed infection at pittag injection site on 5-Sep. Isolating in infection cage. 6-Sep: Wound is bad but no pus just bleeding. Starting to scab over. Still very active. Fed a few mealworms</t>
  </si>
  <si>
    <t>DMR03159 - BMI: 0.507343 (Female)</t>
  </si>
  <si>
    <t>Deceased</t>
  </si>
  <si>
    <t>DMR03160 - BMI: 0.483363 (Female)</t>
  </si>
  <si>
    <t>D1</t>
  </si>
  <si>
    <t>Replaced with DMR03188</t>
  </si>
  <si>
    <t>Huge hole in wing where band was. Broken wing. Euthanized 9-Sep</t>
  </si>
  <si>
    <t>DMR03161 - BMI: 0.717046 (Female)</t>
  </si>
  <si>
    <t>Secondary</t>
  </si>
  <si>
    <t>D27</t>
  </si>
  <si>
    <t xml:space="preserve">8-Oct: Found dead by animal care team. 4-Oct: Cold and lethargic </t>
  </si>
  <si>
    <t>DMR03162 - BMI: 0.536898 (Female)</t>
  </si>
  <si>
    <t>DMR03163 - BMI: 0.453889 (Female)</t>
  </si>
  <si>
    <t>DMR03164 - BMI: 0.571554 (Female)</t>
  </si>
  <si>
    <t>DMR03165 - BMI: 0.752782 (Female)</t>
  </si>
  <si>
    <t>D5</t>
  </si>
  <si>
    <t>16-Sep: Found dead by animal care staff. Stomach feels a bit squishy. Coat not very clean. Notes that he was a bleeder on 12-Sep and that right thumb looked swollen. Not holding on to cage with right thumb having a hard time moving around. Seen at the bottom of flight cage on 14-Sep but reactive when handled and put back.</t>
  </si>
  <si>
    <t>DMR03166 - BMI: 0.755826 (Female)</t>
  </si>
  <si>
    <t>Replaced with DMR03180</t>
  </si>
  <si>
    <t>Bit Ashlyn. Euthanized 9-Sep and sent in for rabies testing</t>
  </si>
  <si>
    <t>DMR03168 - BMI: 0.571490 (Female)</t>
  </si>
  <si>
    <t>6-Sep: Back is bleeding and a bit of pus coming from under the iButton. Lifted the iButton a bit and cleaned the whole back with alcohol wipe. Put in quarantine cage to keep an eye on</t>
  </si>
  <si>
    <t>DMR03169</t>
  </si>
  <si>
    <t>APS60140</t>
  </si>
  <si>
    <t>DMR03169 - BMI: 0.551093 (Female)</t>
  </si>
  <si>
    <t>D-4</t>
  </si>
  <si>
    <t>Replaced with DMR03193</t>
  </si>
  <si>
    <t>Looked really bad on morning of 4-Sep. By late afternoon looking worse and lethargic. Bat looked very yellow and squishy. Put down using ISO</t>
  </si>
  <si>
    <t>DMR03170 - BMI: 0.583988 (Female)</t>
  </si>
  <si>
    <t>DMR03171 - BMI: 0.646755 (Female)</t>
  </si>
  <si>
    <t>D4</t>
  </si>
  <si>
    <t>5-Sep: Noticed infection at pittag injection site on 5-Sep. Isolating in infection cage. Yellowing color and squishy like 169, but still very active.  6-Sep: Still very active, looks pretty good. Did not notice any bleeding or oozing on back. Yellowish color has gone away. Kept in quarantine cage to keep an eye on. Found dead on Sep 12. Looked healthy and fine.</t>
  </si>
  <si>
    <t>DMR03172 - BMI: 0.538657 (Female)</t>
  </si>
  <si>
    <t>DMR03173 - BMI: 0.724638 (Female)</t>
  </si>
  <si>
    <t>13-Sep: Extremely weak and lethargic. Put down.</t>
  </si>
  <si>
    <t>DMR03174 - BMI: 0.534479 (Female)</t>
  </si>
  <si>
    <t>D6</t>
  </si>
  <si>
    <t>14-Sep: Found dead in the morning. Looks healthy and in good condition.</t>
  </si>
  <si>
    <t>DMR03175 - BMI: 0.523713 (Male)</t>
  </si>
  <si>
    <t>D3</t>
  </si>
  <si>
    <t>Replaced with DMR03194</t>
  </si>
  <si>
    <t>Found dead around noon on Sep 11th. Body still warm and in good condition. No visible wounds or infections. Unable to collect blood samples on Sep 10th - could be related to death.</t>
  </si>
  <si>
    <t>Troxelville House</t>
  </si>
  <si>
    <t>DMR03176 - BMI: 0.470729 (Female)</t>
  </si>
  <si>
    <t>DMR03177 - BMI: 0.332767 (Female)</t>
  </si>
  <si>
    <t>DMR03178 - BMI: 0.342672 (Female)</t>
  </si>
  <si>
    <t>DMR03179 - BMI: 0.348810 (Female)</t>
  </si>
  <si>
    <t>12-Sep: Only half holding on to cage wall. Reacted when grabbing him by opening mouth wide but not trying to move around at all. When placed on back not trying to flip itself back over. In good condition overall. Placed him back on the wall and he stayed in the same spot right side up.13-Sep: Found dead.</t>
  </si>
  <si>
    <t>DMR03180 - BMI: 0.4854368932 (Male)</t>
  </si>
  <si>
    <t>Was spare but replaced DMR03166</t>
  </si>
  <si>
    <t>Old Danville Highway Barn</t>
  </si>
  <si>
    <t>DMR03181 - BMI: 0.317256 (Female)</t>
  </si>
  <si>
    <t>DMR03182 - BMI: 0.444690 (Female)</t>
  </si>
  <si>
    <t>DMR03183 - BMI: 0.428115 (Female)</t>
  </si>
  <si>
    <t>DMR03184 - BMI: 0.338770 (Female)</t>
  </si>
  <si>
    <t>DMR03185 - BMI: 0.312082 (Female)</t>
  </si>
  <si>
    <t>DMR03186 - BMI: 0.315813 (Male)</t>
  </si>
  <si>
    <t>DMR03187 - BMI: 0.319693 (Female)</t>
  </si>
  <si>
    <t>DMR03188 - BMI: 0.5011235955 (Male)</t>
  </si>
  <si>
    <t>D23</t>
  </si>
  <si>
    <t>Was spare but replaced DMR03160</t>
  </si>
  <si>
    <t>10/3: Maybe wrist is dislocated. Very bruised and swollen; 10/4: found dead</t>
  </si>
  <si>
    <t>DMR03189 - BMI: 0.384358 (Male)</t>
  </si>
  <si>
    <t>13-Sep: Found dead.</t>
  </si>
  <si>
    <t>DMR03190 - BMI: 0.315997 (Male)</t>
  </si>
  <si>
    <t>Has been aggressive and biting since Sep 7th. When returning to flight cages would approach other bats and bite them. Around 1200 on Sep 11 was found with bite injury to face and bloody eye, but still active. Found on floor of flight cage around 1700 on Sep 11th, very weak, cold, and half swollen face. Put down with isoflurane</t>
  </si>
  <si>
    <t>DMR03191 - BMI: 0.567574 (Male)</t>
  </si>
  <si>
    <t>DMR03192 - BMI: 0.450325 (Male)</t>
  </si>
  <si>
    <t>DMR03193 - BMI: 0.469236294 (Male)</t>
  </si>
  <si>
    <t>Was spare but replaced DMR03169</t>
  </si>
  <si>
    <t>DMR03194 - BMI 0.4417231577 (Male)</t>
  </si>
  <si>
    <t>Was spare but replaced DMR03175</t>
  </si>
  <si>
    <t>15-Sep: Found dead, looks healthy</t>
  </si>
  <si>
    <t>DMR03195 - BMI: 0.428698 (Male)</t>
  </si>
  <si>
    <t>Skin ripped during pittag insertion. Used super glue to close the skin - might not work well with BUTT on the back. Maybe consider using as a back up bat</t>
  </si>
  <si>
    <t>(Multiple Items)</t>
  </si>
  <si>
    <t>APS36010_boost</t>
  </si>
  <si>
    <t>APS36106_boost</t>
  </si>
  <si>
    <t>APS36007_boost</t>
  </si>
  <si>
    <t>APS60081_boost</t>
  </si>
  <si>
    <t>APS60079_boost</t>
  </si>
  <si>
    <t>APS36057_boost</t>
  </si>
  <si>
    <t>APS60088_boost</t>
  </si>
  <si>
    <t>APS60156_boost</t>
  </si>
  <si>
    <t>APS60115_boost</t>
  </si>
  <si>
    <t>APS60113_boost</t>
  </si>
  <si>
    <t>APS60123_boost</t>
  </si>
  <si>
    <t>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</si>
</sst>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quot;-&quot;mmm&quot;, &quot;yyyy"/>
    <numFmt numFmtId="165" formatCode="d\-mmm\,\ yyyy"/>
  </numFmts>
  <fonts count="8" x14ac:knownFonts="1">
    <font>
      <sz val="10"/>
      <color rgb="FF000000"/>
      <name val="Arial"/>
      <scheme val="minor"/>
    </font>
    <font>
      <sz val="10"/>
      <color theme="1"/>
      <name val="Arial"/>
      <scheme val="minor"/>
    </font>
    <font>
      <b/>
      <sz val="11"/>
      <color theme="1"/>
      <name val="Calibri"/>
    </font>
    <font>
      <sz val="11"/>
      <color theme="1"/>
      <name val="Calibri"/>
    </font>
    <font>
      <b/>
      <sz val="10"/>
      <color theme="1"/>
      <name val="Arial"/>
    </font>
    <font>
      <sz val="10"/>
      <color theme="1"/>
      <name val="Arial"/>
    </font>
    <font>
      <sz val="12"/>
      <color theme="1"/>
      <name val="Arial"/>
    </font>
    <font>
      <sz val="10"/>
      <color rgb="FF222222"/>
      <name val="Arial"/>
    </font>
  </fonts>
  <fills count="5">
    <fill>
      <patternFill patternType="none"/>
    </fill>
    <fill>
      <patternFill patternType="gray125"/>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s>
  <borders count="6">
    <border>
      <left/>
      <right/>
      <top/>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xf numFmtId="15" fontId="1" fillId="0" borderId="0" xfId="0" applyNumberFormat="1" applyFont="1"/>
    <xf numFmtId="0" fontId="1" fillId="2" borderId="0" xfId="0" applyFont="1" applyFill="1"/>
    <xf numFmtId="0" fontId="4" fillId="0" borderId="0" xfId="0" applyFont="1"/>
    <xf numFmtId="0" fontId="5" fillId="0" borderId="0" xfId="0" applyFont="1"/>
    <xf numFmtId="164" fontId="5" fillId="0" borderId="0" xfId="0" applyNumberFormat="1" applyFont="1" applyAlignment="1">
      <alignment horizontal="right"/>
    </xf>
    <xf numFmtId="0" fontId="5" fillId="0" borderId="0" xfId="0" applyFont="1" applyAlignment="1">
      <alignment horizontal="right"/>
    </xf>
    <xf numFmtId="0" fontId="6" fillId="0" borderId="0" xfId="0" applyFont="1"/>
    <xf numFmtId="165" fontId="5" fillId="0" borderId="0" xfId="0" applyNumberFormat="1" applyFont="1" applyAlignment="1">
      <alignment horizontal="right"/>
    </xf>
    <xf numFmtId="0" fontId="7" fillId="3" borderId="0" xfId="0" applyFont="1" applyFill="1"/>
    <xf numFmtId="0" fontId="6" fillId="4" borderId="0" xfId="0" applyFont="1" applyFill="1"/>
    <xf numFmtId="0" fontId="0" fillId="0" borderId="1" xfId="0" pivotButton="1" applyBorder="1"/>
    <xf numFmtId="0" fontId="0" fillId="0" borderId="2" xfId="0" applyBorder="1"/>
    <xf numFmtId="14" fontId="0" fillId="0" borderId="1" xfId="0" applyNumberFormat="1"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5" xfId="0" pivotButton="1" applyBorder="1"/>
    <xf numFmtId="0" fontId="0" fillId="0" borderId="1" xfId="0" applyNumberFormat="1" applyBorder="1"/>
    <xf numFmtId="0" fontId="0" fillId="0" borderId="3" xfId="0" applyNumberFormat="1" applyBorder="1"/>
    <xf numFmtId="0" fontId="0" fillId="0" borderId="4" xfId="0" applyNumberFormat="1" applyBorder="1"/>
    <xf numFmtId="0" fontId="0" fillId="0" borderId="5" xfId="0" applyNumberFormat="1" applyBorder="1"/>
    <xf numFmtId="0" fontId="1" fillId="0"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shlyn Sak" refreshedDate="46134.781436574071" refreshedVersion="8" recordCount="59" xr:uid="{00000000-000A-0000-FFFF-FFFF00000000}">
  <cacheSource type="worksheet">
    <worksheetSource ref="A1:AG1000" sheet="Loggers"/>
  </cacheSource>
  <cacheFields count="32">
    <cacheField name="Serial Number" numFmtId="0">
      <sharedItems containsBlank="1" containsMixedTypes="1" containsNumber="1" containsInteger="1" minValue="200000081173241" maxValue="200000081173241"/>
    </cacheField>
    <cacheField name="Logger Name" numFmtId="0">
      <sharedItems containsBlank="1"/>
    </cacheField>
    <cacheField name="Bat Band" numFmtId="0">
      <sharedItems containsBlank="1"/>
    </cacheField>
    <cacheField name="Bat Pittag" numFmtId="0">
      <sharedItems containsBlank="1"/>
    </cacheField>
    <cacheField name="Treatment" numFmtId="0">
      <sharedItems containsBlank="1" count="7">
        <s v="NoCo"/>
        <s v="Dual"/>
        <s v="SHAM"/>
        <s v="Secondary"/>
        <s v="NA"/>
        <s v="Primary"/>
        <m/>
      </sharedItems>
    </cacheField>
    <cacheField name="Group" numFmtId="0">
      <sharedItems containsBlank="1"/>
    </cacheField>
    <cacheField name="Sex" numFmtId="0">
      <sharedItems containsBlank="1"/>
    </cacheField>
    <cacheField name="Date Attached" numFmtId="0">
      <sharedItems containsDate="1" containsBlank="1" containsMixedTypes="1" minDate="2025-09-02T00:00:00" maxDate="2025-10-03T00:00:00" count="7">
        <d v="2025-09-06T00:00:00"/>
        <d v="2025-09-02T00:00:00"/>
        <d v="2025-09-09T00:00:00"/>
        <d v="2025-10-02T00:00:00"/>
        <s v="NA"/>
        <d v="2025-09-29T00:00:00"/>
        <m/>
      </sharedItems>
    </cacheField>
    <cacheField name="Date Removed" numFmtId="0">
      <sharedItems containsDate="1" containsBlank="1" containsMixedTypes="1" minDate="2025-09-09T00:00:00" maxDate="2025-10-18T00:00:00"/>
    </cacheField>
    <cacheField name="BUTT Status " numFmtId="0">
      <sharedItems containsBlank="1" count="6">
        <s v="Downloaded"/>
        <s v="Missing"/>
        <s v="No Data"/>
        <s v="Not used"/>
        <s v="NA"/>
        <m/>
      </sharedItems>
    </cacheField>
    <cacheField name="Experiment D Died" numFmtId="0">
      <sharedItems containsBlank="1" count="11">
        <s v="D3"/>
        <s v="D36"/>
        <s v="D27"/>
        <s v="D5"/>
        <s v="D6"/>
        <s v="NA"/>
        <s v="D1"/>
        <s v="D21"/>
        <s v="D23"/>
        <s v="D4"/>
        <m/>
      </sharedItems>
    </cacheField>
    <cacheField name="Logger location" numFmtId="0">
      <sharedItems containsBlank="1"/>
    </cacheField>
    <cacheField name="Notes" numFmtId="0">
      <sharedItems containsBlank="1"/>
    </cacheField>
    <cacheField name=" " numFmtId="0">
      <sharedItems containsNonDate="0" containsString="0" containsBlank="1"/>
    </cacheField>
    <cacheField name=" 2" numFmtId="0">
      <sharedItems containsNonDate="0" containsString="0" containsBlank="1"/>
    </cacheField>
    <cacheField name=" 3" numFmtId="0">
      <sharedItems containsNonDate="0" containsString="0" containsBlank="1"/>
    </cacheField>
    <cacheField name=" 4" numFmtId="0">
      <sharedItems containsNonDate="0" containsString="0" containsBlank="1"/>
    </cacheField>
    <cacheField name=" 5" numFmtId="0">
      <sharedItems containsNonDate="0" containsString="0" containsBlank="1"/>
    </cacheField>
    <cacheField name=" 6" numFmtId="0">
      <sharedItems containsNonDate="0" containsString="0" containsBlank="1"/>
    </cacheField>
    <cacheField name=" 7" numFmtId="0">
      <sharedItems containsNonDate="0" containsString="0" containsBlank="1"/>
    </cacheField>
    <cacheField name=" 8" numFmtId="0">
      <sharedItems containsNonDate="0" containsString="0" containsBlank="1"/>
    </cacheField>
    <cacheField name=" 9" numFmtId="0">
      <sharedItems containsNonDate="0" containsString="0" containsBlank="1"/>
    </cacheField>
    <cacheField name=" 10" numFmtId="0">
      <sharedItems containsNonDate="0" containsString="0" containsBlank="1"/>
    </cacheField>
    <cacheField name=" 11" numFmtId="0">
      <sharedItems containsNonDate="0" containsString="0" containsBlank="1"/>
    </cacheField>
    <cacheField name=" 12" numFmtId="0">
      <sharedItems containsNonDate="0" containsString="0" containsBlank="1"/>
    </cacheField>
    <cacheField name=" 13" numFmtId="0">
      <sharedItems containsNonDate="0" containsString="0" containsBlank="1"/>
    </cacheField>
    <cacheField name=" 14" numFmtId="0">
      <sharedItems containsNonDate="0" containsString="0" containsBlank="1"/>
    </cacheField>
    <cacheField name=" 15" numFmtId="0">
      <sharedItems containsNonDate="0" containsString="0" containsBlank="1"/>
    </cacheField>
    <cacheField name=" 16" numFmtId="0">
      <sharedItems containsNonDate="0" containsString="0" containsBlank="1"/>
    </cacheField>
    <cacheField name=" 17" numFmtId="0">
      <sharedItems containsNonDate="0" containsString="0" containsBlank="1"/>
    </cacheField>
    <cacheField name=" 18" numFmtId="0">
      <sharedItems containsNonDate="0" containsString="0" containsBlank="1"/>
    </cacheField>
    <cacheField name=" 19"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s v="1C00000081866F41"/>
    <s v="A1"/>
    <s v="DMR03190"/>
    <s v="APS36067"/>
    <x v="0"/>
    <s v="GP 1"/>
    <s v="Male"/>
    <x v="0"/>
    <d v="2025-09-10T00:00:00"/>
    <x v="0"/>
    <x v="0"/>
    <m/>
    <m/>
    <m/>
    <m/>
    <m/>
    <m/>
    <m/>
    <m/>
    <m/>
    <m/>
    <m/>
    <m/>
    <m/>
    <m/>
    <m/>
    <m/>
    <m/>
    <m/>
    <m/>
    <m/>
    <m/>
  </r>
  <r>
    <s v="7F000000818B3741"/>
    <s v="A3"/>
    <s v="DMR03191"/>
    <s v="APS36108"/>
    <x v="1"/>
    <s v="GP 2"/>
    <s v="Male"/>
    <x v="1"/>
    <d v="2025-10-17T00:00:00"/>
    <x v="0"/>
    <x v="1"/>
    <m/>
    <m/>
    <m/>
    <m/>
    <m/>
    <m/>
    <m/>
    <m/>
    <m/>
    <m/>
    <m/>
    <m/>
    <m/>
    <m/>
    <m/>
    <m/>
    <m/>
    <m/>
    <m/>
    <m/>
    <m/>
  </r>
  <r>
    <s v="46000000811E9741"/>
    <s v="A8"/>
    <s v="DMR03182"/>
    <s v="APS60132"/>
    <x v="1"/>
    <s v="GP 1"/>
    <s v="Female"/>
    <x v="1"/>
    <d v="2025-10-14T00:00:00"/>
    <x v="0"/>
    <x v="1"/>
    <m/>
    <m/>
    <m/>
    <m/>
    <m/>
    <m/>
    <m/>
    <m/>
    <m/>
    <m/>
    <m/>
    <m/>
    <m/>
    <m/>
    <m/>
    <m/>
    <m/>
    <m/>
    <m/>
    <m/>
    <m/>
  </r>
  <r>
    <s v="53000000811AC841"/>
    <s v="A4"/>
    <s v="DMR03154"/>
    <s v="APS60123"/>
    <x v="2"/>
    <s v="GP 1"/>
    <s v="Male"/>
    <x v="0"/>
    <d v="2025-09-29T00:00:00"/>
    <x v="1"/>
    <x v="1"/>
    <m/>
    <m/>
    <m/>
    <m/>
    <m/>
    <m/>
    <m/>
    <m/>
    <m/>
    <m/>
    <m/>
    <m/>
    <m/>
    <m/>
    <m/>
    <m/>
    <m/>
    <m/>
    <m/>
    <m/>
    <m/>
  </r>
  <r>
    <n v="200000081173241"/>
    <s v="A5"/>
    <s v="DMR03162"/>
    <s v="APS36106"/>
    <x v="1"/>
    <s v="GP 1"/>
    <s v="Female"/>
    <x v="1"/>
    <d v="2025-09-29T00:00:00"/>
    <x v="0"/>
    <x v="1"/>
    <m/>
    <m/>
    <m/>
    <m/>
    <m/>
    <m/>
    <m/>
    <m/>
    <m/>
    <m/>
    <m/>
    <m/>
    <m/>
    <m/>
    <m/>
    <m/>
    <m/>
    <m/>
    <m/>
    <m/>
    <m/>
  </r>
  <r>
    <s v="BB00000081230841"/>
    <s v="A6"/>
    <s v="DMR03161"/>
    <s v="APS60125"/>
    <x v="3"/>
    <s v="GP 2"/>
    <s v="Female"/>
    <x v="1"/>
    <d v="2025-10-08T00:00:00"/>
    <x v="0"/>
    <x v="2"/>
    <m/>
    <m/>
    <m/>
    <m/>
    <m/>
    <m/>
    <m/>
    <m/>
    <m/>
    <m/>
    <m/>
    <m/>
    <m/>
    <m/>
    <m/>
    <m/>
    <m/>
    <m/>
    <m/>
    <m/>
    <m/>
  </r>
  <r>
    <s v="C5000000811EA541"/>
    <s v="A7"/>
    <s v="DMR03165"/>
    <s v="APS60087"/>
    <x v="0"/>
    <s v="GP 2"/>
    <s v="Female"/>
    <x v="2"/>
    <d v="2025-09-16T00:00:00"/>
    <x v="0"/>
    <x v="3"/>
    <m/>
    <m/>
    <m/>
    <m/>
    <m/>
    <m/>
    <m/>
    <m/>
    <m/>
    <m/>
    <m/>
    <m/>
    <m/>
    <m/>
    <m/>
    <m/>
    <m/>
    <m/>
    <m/>
    <m/>
    <m/>
  </r>
  <r>
    <s v="CD00000081881A41"/>
    <s v="B9"/>
    <s v="DMR03158"/>
    <s v="APS36010_boost"/>
    <x v="1"/>
    <s v="GP 2"/>
    <s v="Male"/>
    <x v="3"/>
    <d v="2025-10-17T00:00:00"/>
    <x v="0"/>
    <x v="1"/>
    <m/>
    <m/>
    <m/>
    <m/>
    <m/>
    <m/>
    <m/>
    <m/>
    <m/>
    <m/>
    <m/>
    <m/>
    <m/>
    <m/>
    <m/>
    <m/>
    <m/>
    <m/>
    <m/>
    <m/>
    <m/>
  </r>
  <r>
    <s v="2D00000081244E41"/>
    <s v="A9"/>
    <s v="DMR03174"/>
    <s v="APS60148"/>
    <x v="0"/>
    <s v="GP 1"/>
    <s v="Female"/>
    <x v="0"/>
    <d v="2025-09-15T00:00:00"/>
    <x v="2"/>
    <x v="4"/>
    <m/>
    <m/>
    <m/>
    <m/>
    <m/>
    <m/>
    <m/>
    <m/>
    <m/>
    <m/>
    <m/>
    <m/>
    <m/>
    <m/>
    <m/>
    <m/>
    <m/>
    <m/>
    <m/>
    <m/>
    <m/>
  </r>
  <r>
    <s v="9A000000811E9341"/>
    <s v="S2"/>
    <s v="DMR03187"/>
    <s v="APS36036"/>
    <x v="1"/>
    <s v="GP 1"/>
    <s v="Female"/>
    <x v="1"/>
    <d v="2025-10-14T00:00:00"/>
    <x v="0"/>
    <x v="1"/>
    <s v="Butt"/>
    <m/>
    <m/>
    <m/>
    <m/>
    <m/>
    <m/>
    <m/>
    <m/>
    <m/>
    <m/>
    <m/>
    <m/>
    <m/>
    <m/>
    <m/>
    <m/>
    <m/>
    <m/>
    <m/>
    <m/>
  </r>
  <r>
    <s v="95000000811F7641"/>
    <s v="B2"/>
    <s v="NA"/>
    <s v="NA"/>
    <x v="4"/>
    <s v=""/>
    <s v=""/>
    <x v="4"/>
    <s v="NA"/>
    <x v="3"/>
    <x v="5"/>
    <m/>
    <m/>
    <m/>
    <m/>
    <m/>
    <m/>
    <m/>
    <m/>
    <m/>
    <m/>
    <m/>
    <m/>
    <m/>
    <m/>
    <m/>
    <m/>
    <m/>
    <m/>
    <m/>
    <m/>
    <m/>
  </r>
  <r>
    <s v="C5000000811EA541"/>
    <s v="S5"/>
    <s v="DMR03162"/>
    <s v="APS36106_boost"/>
    <x v="1"/>
    <s v="GP 1"/>
    <s v="Female"/>
    <x v="5"/>
    <d v="2025-10-14T00:00:00"/>
    <x v="0"/>
    <x v="1"/>
    <m/>
    <m/>
    <m/>
    <m/>
    <m/>
    <m/>
    <m/>
    <m/>
    <m/>
    <m/>
    <m/>
    <m/>
    <m/>
    <m/>
    <m/>
    <m/>
    <m/>
    <m/>
    <m/>
    <m/>
    <m/>
  </r>
  <r>
    <s v="7D0000008122D241"/>
    <s v="S7"/>
    <s v="DMR03159"/>
    <s v="APS36007_boost"/>
    <x v="1"/>
    <s v="GP 2"/>
    <s v="Female"/>
    <x v="3"/>
    <d v="2025-10-17T00:00:00"/>
    <x v="0"/>
    <x v="1"/>
    <m/>
    <s v="Data messed up probably have to throw out"/>
    <m/>
    <m/>
    <m/>
    <m/>
    <m/>
    <m/>
    <m/>
    <m/>
    <m/>
    <m/>
    <m/>
    <m/>
    <m/>
    <m/>
    <m/>
    <m/>
    <m/>
    <m/>
    <m/>
  </r>
  <r>
    <s v="1000000081241041"/>
    <s v="B5"/>
    <s v="DMR03175"/>
    <s v="APS36101"/>
    <x v="3"/>
    <s v="GP 1"/>
    <s v="Male"/>
    <x v="1"/>
    <d v="2025-09-11T00:00:00"/>
    <x v="2"/>
    <x v="0"/>
    <m/>
    <m/>
    <m/>
    <m/>
    <m/>
    <m/>
    <m/>
    <m/>
    <m/>
    <m/>
    <m/>
    <m/>
    <m/>
    <m/>
    <m/>
    <m/>
    <m/>
    <m/>
    <m/>
    <m/>
    <m/>
  </r>
  <r>
    <s v="E500000081218941"/>
    <s v="B6"/>
    <s v="DMR03160"/>
    <s v="APS60109"/>
    <x v="2"/>
    <s v="GP 1"/>
    <s v="Female"/>
    <x v="0"/>
    <d v="2025-09-09T00:00:00"/>
    <x v="0"/>
    <x v="6"/>
    <m/>
    <m/>
    <m/>
    <m/>
    <m/>
    <m/>
    <m/>
    <m/>
    <m/>
    <m/>
    <m/>
    <m/>
    <m/>
    <m/>
    <m/>
    <m/>
    <m/>
    <m/>
    <m/>
    <m/>
    <m/>
  </r>
  <r>
    <s v="6100000081222041"/>
    <s v="B7"/>
    <s v="DMR03195"/>
    <s v="APS60081"/>
    <x v="0"/>
    <s v="GP 1"/>
    <s v="Male"/>
    <x v="0"/>
    <d v="2025-09-29T00:00:00"/>
    <x v="0"/>
    <x v="1"/>
    <m/>
    <m/>
    <m/>
    <m/>
    <m/>
    <m/>
    <m/>
    <m/>
    <m/>
    <m/>
    <m/>
    <m/>
    <m/>
    <m/>
    <m/>
    <m/>
    <m/>
    <m/>
    <m/>
    <m/>
    <m/>
  </r>
  <r>
    <s v="0C00000081829341"/>
    <s v="C3"/>
    <s v="DMR03193"/>
    <s v="APS36008"/>
    <x v="0"/>
    <s v="GP 2"/>
    <s v="Male"/>
    <x v="2"/>
    <d v="2025-10-17T00:00:00"/>
    <x v="0"/>
    <x v="1"/>
    <s v="Butt"/>
    <s v="Some bad data points"/>
    <m/>
    <m/>
    <m/>
    <m/>
    <m/>
    <m/>
    <m/>
    <m/>
    <m/>
    <m/>
    <m/>
    <m/>
    <m/>
    <m/>
    <m/>
    <m/>
    <m/>
    <m/>
    <m/>
  </r>
  <r>
    <s v="7E00000081837A41"/>
    <s v="C9"/>
    <s v="DMR03170"/>
    <s v="APS60073"/>
    <x v="0"/>
    <s v="GP 1"/>
    <s v="Female"/>
    <x v="0"/>
    <d v="2025-10-14T00:00:00"/>
    <x v="0"/>
    <x v="1"/>
    <m/>
    <m/>
    <m/>
    <m/>
    <m/>
    <m/>
    <m/>
    <m/>
    <m/>
    <m/>
    <m/>
    <m/>
    <m/>
    <m/>
    <m/>
    <m/>
    <m/>
    <m/>
    <m/>
    <m/>
    <m/>
  </r>
  <r>
    <s v="D3000000811C3A41"/>
    <s v="S3"/>
    <s v="DMR03195"/>
    <s v="APS60081_boost"/>
    <x v="0"/>
    <s v="GP 1"/>
    <s v="Male"/>
    <x v="5"/>
    <d v="2025-10-14T00:00:00"/>
    <x v="0"/>
    <x v="1"/>
    <m/>
    <s v="Same serial umber as K6"/>
    <m/>
    <m/>
    <m/>
    <m/>
    <m/>
    <m/>
    <m/>
    <m/>
    <m/>
    <m/>
    <m/>
    <m/>
    <m/>
    <m/>
    <m/>
    <m/>
    <m/>
    <m/>
    <m/>
  </r>
  <r>
    <s v="BB000000818AFE41"/>
    <s v="C2"/>
    <s v="DMR03153"/>
    <s v="APS60079"/>
    <x v="0"/>
    <s v="GP 2"/>
    <s v="Male"/>
    <x v="2"/>
    <d v="2025-10-02T00:00:00"/>
    <x v="1"/>
    <x v="1"/>
    <m/>
    <m/>
    <m/>
    <m/>
    <m/>
    <m/>
    <m/>
    <m/>
    <m/>
    <m/>
    <m/>
    <m/>
    <m/>
    <m/>
    <m/>
    <m/>
    <m/>
    <m/>
    <m/>
    <m/>
    <m/>
  </r>
  <r>
    <s v="6100000081222041"/>
    <s v="S6"/>
    <s v="DMR03153"/>
    <s v="APS60079_boost"/>
    <x v="0"/>
    <s v="GP 2"/>
    <s v="Male"/>
    <x v="3"/>
    <d v="2025-10-17T00:00:00"/>
    <x v="0"/>
    <x v="1"/>
    <m/>
    <m/>
    <m/>
    <m/>
    <m/>
    <m/>
    <m/>
    <m/>
    <m/>
    <m/>
    <m/>
    <m/>
    <m/>
    <m/>
    <m/>
    <m/>
    <m/>
    <m/>
    <m/>
    <m/>
    <m/>
  </r>
  <r>
    <s v="CB0000008183CC41"/>
    <s v="A2"/>
    <s v="DMR03152"/>
    <s v="APS36021"/>
    <x v="5"/>
    <s v="GP 2"/>
    <s v="Male"/>
    <x v="1"/>
    <d v="2025-10-17T00:00:00"/>
    <x v="0"/>
    <x v="1"/>
    <m/>
    <m/>
    <m/>
    <m/>
    <m/>
    <m/>
    <m/>
    <m/>
    <m/>
    <m/>
    <m/>
    <m/>
    <m/>
    <m/>
    <m/>
    <m/>
    <m/>
    <m/>
    <m/>
    <m/>
    <m/>
  </r>
  <r>
    <s v="AC00000081223941"/>
    <s v="C1"/>
    <s v="DMR03184"/>
    <s v="APS60160"/>
    <x v="5"/>
    <s v="GP 1"/>
    <s v="Female"/>
    <x v="1"/>
    <d v="2025-10-14T00:00:00"/>
    <x v="0"/>
    <x v="1"/>
    <m/>
    <m/>
    <m/>
    <m/>
    <m/>
    <m/>
    <m/>
    <m/>
    <m/>
    <m/>
    <m/>
    <m/>
    <m/>
    <m/>
    <m/>
    <m/>
    <m/>
    <m/>
    <m/>
    <m/>
    <m/>
  </r>
  <r>
    <s v="3C000000811C1941"/>
    <s v="C6"/>
    <s v="DMR03164"/>
    <s v="APS60088"/>
    <x v="5"/>
    <s v="GP 2"/>
    <s v="Female"/>
    <x v="1"/>
    <d v="2025-10-02T00:00:00"/>
    <x v="2"/>
    <x v="1"/>
    <m/>
    <m/>
    <m/>
    <m/>
    <m/>
    <m/>
    <m/>
    <m/>
    <m/>
    <m/>
    <m/>
    <m/>
    <m/>
    <m/>
    <m/>
    <m/>
    <m/>
    <m/>
    <m/>
    <m/>
    <m/>
  </r>
  <r>
    <s v="19000000811D8A41"/>
    <s v="C7"/>
    <s v="DMR03151"/>
    <s v="APS36011"/>
    <x v="1"/>
    <s v="GP 2"/>
    <s v="Male"/>
    <x v="1"/>
    <d v="2025-10-02T00:00:00"/>
    <x v="0"/>
    <x v="7"/>
    <m/>
    <m/>
    <m/>
    <m/>
    <m/>
    <m/>
    <m/>
    <m/>
    <m/>
    <m/>
    <m/>
    <m/>
    <m/>
    <m/>
    <m/>
    <m/>
    <m/>
    <m/>
    <m/>
    <m/>
    <m/>
  </r>
  <r>
    <s v="BD000000811A6E41"/>
    <s v="C8"/>
    <s v="DMR03173"/>
    <s v="APS60086"/>
    <x v="5"/>
    <s v="GP 1"/>
    <s v="Female"/>
    <x v="1"/>
    <d v="2025-09-13T00:00:00"/>
    <x v="0"/>
    <x v="3"/>
    <m/>
    <m/>
    <m/>
    <m/>
    <m/>
    <m/>
    <m/>
    <m/>
    <m/>
    <m/>
    <m/>
    <m/>
    <m/>
    <m/>
    <m/>
    <m/>
    <m/>
    <m/>
    <m/>
    <m/>
    <m/>
  </r>
  <r>
    <s v="9B000000811F0F41"/>
    <s v="C4"/>
    <s v="DMR03186"/>
    <s v="APS36057_boost"/>
    <x v="5"/>
    <s v="GP 2"/>
    <s v="Male"/>
    <x v="3"/>
    <d v="2025-10-17T00:00:00"/>
    <x v="0"/>
    <x v="1"/>
    <m/>
    <m/>
    <m/>
    <m/>
    <m/>
    <m/>
    <m/>
    <m/>
    <m/>
    <m/>
    <m/>
    <m/>
    <m/>
    <m/>
    <m/>
    <m/>
    <m/>
    <m/>
    <m/>
    <m/>
    <m/>
  </r>
  <r>
    <s v="60000000811CB941"/>
    <s v="J1"/>
    <s v="DMR03177"/>
    <s v="APS36050"/>
    <x v="3"/>
    <s v="GP 2"/>
    <s v="Female"/>
    <x v="1"/>
    <d v="2025-10-17T00:00:00"/>
    <x v="2"/>
    <x v="1"/>
    <m/>
    <m/>
    <m/>
    <m/>
    <m/>
    <m/>
    <m/>
    <m/>
    <m/>
    <m/>
    <m/>
    <m/>
    <m/>
    <m/>
    <m/>
    <m/>
    <m/>
    <m/>
    <m/>
    <m/>
    <m/>
  </r>
  <r>
    <s v="1D00000081175641"/>
    <s v="C5"/>
    <s v="DMR03157"/>
    <s v="APS60118"/>
    <x v="5"/>
    <s v="GP 1"/>
    <s v="Male"/>
    <x v="1"/>
    <d v="2025-10-14T00:00:00"/>
    <x v="0"/>
    <x v="1"/>
    <m/>
    <m/>
    <m/>
    <m/>
    <m/>
    <m/>
    <m/>
    <m/>
    <m/>
    <m/>
    <m/>
    <m/>
    <m/>
    <m/>
    <m/>
    <m/>
    <m/>
    <m/>
    <m/>
    <m/>
    <m/>
  </r>
  <r>
    <s v="06000000818A0441"/>
    <s v="J3"/>
    <s v="DMR03188"/>
    <s v="APS36081"/>
    <x v="2"/>
    <s v="GP 2"/>
    <s v="Male"/>
    <x v="2"/>
    <d v="2025-10-04T00:00:00"/>
    <x v="0"/>
    <x v="8"/>
    <m/>
    <m/>
    <m/>
    <m/>
    <m/>
    <m/>
    <m/>
    <m/>
    <m/>
    <m/>
    <m/>
    <m/>
    <m/>
    <m/>
    <m/>
    <m/>
    <m/>
    <m/>
    <m/>
    <m/>
    <m/>
  </r>
  <r>
    <s v="E6000000811F0341"/>
    <s v="J4"/>
    <s v="DMR03166"/>
    <s v="APS60100"/>
    <x v="2"/>
    <s v="GP 1"/>
    <s v="Female"/>
    <x v="0"/>
    <d v="2025-09-09T00:00:00"/>
    <x v="0"/>
    <x v="6"/>
    <m/>
    <m/>
    <m/>
    <m/>
    <m/>
    <m/>
    <m/>
    <m/>
    <m/>
    <m/>
    <m/>
    <m/>
    <m/>
    <m/>
    <m/>
    <m/>
    <m/>
    <m/>
    <m/>
    <m/>
    <m/>
  </r>
  <r>
    <s v="1200000081836B41"/>
    <s v="J5"/>
    <s v="DMR03168"/>
    <s v="APS60115"/>
    <x v="3"/>
    <s v="GP 1"/>
    <s v="Female"/>
    <x v="1"/>
    <d v="2025-09-29T00:00:00"/>
    <x v="0"/>
    <x v="1"/>
    <m/>
    <m/>
    <m/>
    <m/>
    <m/>
    <m/>
    <m/>
    <m/>
    <m/>
    <m/>
    <m/>
    <m/>
    <m/>
    <m/>
    <m/>
    <m/>
    <m/>
    <m/>
    <m/>
    <m/>
    <m/>
  </r>
  <r>
    <s v="B40000008187B741"/>
    <s v="K5"/>
    <s v="DMR03183"/>
    <s v="APS36026"/>
    <x v="5"/>
    <s v="GP 2"/>
    <s v="Female"/>
    <x v="1"/>
    <d v="2025-10-17T00:00:00"/>
    <x v="0"/>
    <x v="1"/>
    <m/>
    <s v="Some bad data"/>
    <m/>
    <m/>
    <m/>
    <m/>
    <m/>
    <m/>
    <m/>
    <m/>
    <m/>
    <m/>
    <m/>
    <m/>
    <m/>
    <m/>
    <m/>
    <m/>
    <m/>
    <m/>
    <m/>
  </r>
  <r>
    <s v="B00000008121E041"/>
    <s v="J7"/>
    <s v="DMR03192"/>
    <s v="APS60113"/>
    <x v="2"/>
    <s v="GP 2"/>
    <s v="Male"/>
    <x v="2"/>
    <d v="2025-10-02T00:00:00"/>
    <x v="0"/>
    <x v="1"/>
    <s v="Butt"/>
    <m/>
    <m/>
    <m/>
    <m/>
    <m/>
    <m/>
    <m/>
    <m/>
    <m/>
    <m/>
    <m/>
    <m/>
    <m/>
    <m/>
    <m/>
    <m/>
    <m/>
    <m/>
    <m/>
    <m/>
  </r>
  <r>
    <s v="1200000081836B41"/>
    <s v="V2"/>
    <s v="DMR03164"/>
    <s v="APS60088_boost"/>
    <x v="5"/>
    <s v="GP 2"/>
    <s v="Female"/>
    <x v="3"/>
    <d v="2025-10-17T00:00:00"/>
    <x v="0"/>
    <x v="1"/>
    <m/>
    <m/>
    <m/>
    <m/>
    <m/>
    <m/>
    <m/>
    <m/>
    <m/>
    <m/>
    <m/>
    <m/>
    <m/>
    <m/>
    <m/>
    <m/>
    <m/>
    <m/>
    <m/>
    <m/>
    <m/>
  </r>
  <r>
    <s v="8D000000818A7A41"/>
    <s v="J9"/>
    <s v="DMR03163"/>
    <s v="APS60156"/>
    <x v="3"/>
    <s v="GP 2"/>
    <s v="Female"/>
    <x v="1"/>
    <d v="2025-10-02T00:00:00"/>
    <x v="1"/>
    <x v="1"/>
    <m/>
    <m/>
    <m/>
    <m/>
    <m/>
    <m/>
    <m/>
    <m/>
    <m/>
    <m/>
    <m/>
    <m/>
    <m/>
    <m/>
    <m/>
    <m/>
    <m/>
    <m/>
    <m/>
    <m/>
    <m/>
  </r>
  <r>
    <s v="2B0000008189E941"/>
    <s v="K1"/>
    <s v="DMR03171"/>
    <s v="APS60134"/>
    <x v="1"/>
    <s v="GP 1"/>
    <s v="Female"/>
    <x v="1"/>
    <d v="2025-09-12T00:00:00"/>
    <x v="0"/>
    <x v="9"/>
    <m/>
    <m/>
    <m/>
    <m/>
    <m/>
    <m/>
    <m/>
    <m/>
    <m/>
    <m/>
    <m/>
    <m/>
    <m/>
    <m/>
    <m/>
    <m/>
    <m/>
    <m/>
    <m/>
    <m/>
    <m/>
  </r>
  <r>
    <s v="01000000811F6C41"/>
    <s v="K2"/>
    <s v="DMR03176"/>
    <s v="APS60082"/>
    <x v="5"/>
    <s v="GP 1"/>
    <s v="Female"/>
    <x v="1"/>
    <d v="2025-10-14T00:00:00"/>
    <x v="2"/>
    <x v="1"/>
    <m/>
    <m/>
    <m/>
    <m/>
    <m/>
    <m/>
    <m/>
    <m/>
    <m/>
    <m/>
    <m/>
    <m/>
    <m/>
    <m/>
    <m/>
    <m/>
    <m/>
    <m/>
    <m/>
    <m/>
    <m/>
  </r>
  <r>
    <s v="7D0000008122D241"/>
    <s v="K3"/>
    <s v="DMR03189"/>
    <s v="APS60112"/>
    <x v="3"/>
    <s v="GP 1"/>
    <s v="Male"/>
    <x v="1"/>
    <d v="2025-09-13T00:00:00"/>
    <x v="0"/>
    <x v="3"/>
    <m/>
    <m/>
    <m/>
    <m/>
    <m/>
    <m/>
    <m/>
    <m/>
    <m/>
    <m/>
    <m/>
    <m/>
    <m/>
    <m/>
    <m/>
    <m/>
    <m/>
    <m/>
    <m/>
    <m/>
    <m/>
  </r>
  <r>
    <s v="CB0000008181FE41"/>
    <s v="K4"/>
    <s v="DMR03178"/>
    <s v="APS60141"/>
    <x v="0"/>
    <s v="GP 2"/>
    <s v="Female"/>
    <x v="2"/>
    <d v="2025-10-17T00:00:00"/>
    <x v="2"/>
    <x v="1"/>
    <m/>
    <m/>
    <m/>
    <m/>
    <m/>
    <m/>
    <m/>
    <m/>
    <m/>
    <m/>
    <m/>
    <m/>
    <m/>
    <m/>
    <m/>
    <m/>
    <m/>
    <m/>
    <m/>
    <m/>
    <m/>
  </r>
  <r>
    <s v="D8000000818C4541"/>
    <s v="B4"/>
    <s v="DMR03185"/>
    <s v="APS36103"/>
    <x v="3"/>
    <s v="GP 1"/>
    <s v="Female"/>
    <x v="1"/>
    <d v="2025-10-14T00:00:00"/>
    <x v="0"/>
    <x v="1"/>
    <m/>
    <m/>
    <m/>
    <m/>
    <m/>
    <m/>
    <m/>
    <m/>
    <m/>
    <m/>
    <m/>
    <m/>
    <m/>
    <m/>
    <m/>
    <m/>
    <m/>
    <m/>
    <m/>
    <m/>
    <m/>
  </r>
  <r>
    <s v="D3000000811C3A41"/>
    <s v="K6"/>
    <s v="DMR03179"/>
    <s v="APS60065"/>
    <x v="2"/>
    <s v="GP 1"/>
    <s v="Female"/>
    <x v="0"/>
    <d v="2025-09-13T00:00:00"/>
    <x v="0"/>
    <x v="3"/>
    <m/>
    <m/>
    <m/>
    <m/>
    <m/>
    <m/>
    <m/>
    <m/>
    <m/>
    <m/>
    <m/>
    <m/>
    <m/>
    <m/>
    <m/>
    <m/>
    <m/>
    <m/>
    <m/>
    <m/>
    <m/>
  </r>
  <r>
    <s v="4D00000081190241"/>
    <s v="K7"/>
    <s v="DMR03158"/>
    <s v="APS36010"/>
    <x v="1"/>
    <s v="GP 2"/>
    <s v="Male"/>
    <x v="1"/>
    <d v="2025-10-02T00:00:00"/>
    <x v="2"/>
    <x v="1"/>
    <m/>
    <m/>
    <m/>
    <m/>
    <m/>
    <m/>
    <m/>
    <m/>
    <m/>
    <m/>
    <m/>
    <m/>
    <m/>
    <m/>
    <m/>
    <m/>
    <m/>
    <m/>
    <m/>
    <m/>
    <m/>
  </r>
  <r>
    <s v="3D000000818A6F41"/>
    <s v="K8"/>
    <s v="DMR03159"/>
    <s v="APS36007"/>
    <x v="1"/>
    <s v="GP 2"/>
    <s v="Female"/>
    <x v="1"/>
    <d v="2025-10-02T00:00:00"/>
    <x v="0"/>
    <x v="1"/>
    <m/>
    <m/>
    <m/>
    <m/>
    <m/>
    <m/>
    <m/>
    <m/>
    <m/>
    <m/>
    <m/>
    <m/>
    <m/>
    <m/>
    <m/>
    <m/>
    <m/>
    <m/>
    <m/>
    <m/>
    <m/>
  </r>
  <r>
    <s v="770000008187D741"/>
    <s v="K9"/>
    <s v="DMR03186"/>
    <s v="APS36057"/>
    <x v="5"/>
    <s v="GP 2"/>
    <s v="Male"/>
    <x v="1"/>
    <d v="2025-10-02T00:00:00"/>
    <x v="0"/>
    <x v="1"/>
    <m/>
    <m/>
    <m/>
    <m/>
    <m/>
    <m/>
    <m/>
    <m/>
    <m/>
    <m/>
    <m/>
    <m/>
    <m/>
    <m/>
    <m/>
    <m/>
    <m/>
    <m/>
    <m/>
    <m/>
    <m/>
  </r>
  <r>
    <s v="B5000000818B9E41"/>
    <s v="S1"/>
    <s v="DMR03194"/>
    <s v="APS36027"/>
    <x v="3"/>
    <s v="GP 2"/>
    <s v="Male"/>
    <x v="2"/>
    <d v="2025-09-15T00:00:00"/>
    <x v="0"/>
    <x v="9"/>
    <m/>
    <m/>
    <m/>
    <m/>
    <m/>
    <m/>
    <m/>
    <m/>
    <m/>
    <m/>
    <m/>
    <m/>
    <m/>
    <m/>
    <m/>
    <m/>
    <m/>
    <m/>
    <m/>
    <m/>
    <m/>
  </r>
  <r>
    <s v="8C00000081197141"/>
    <s v="J2"/>
    <s v="DMR03172"/>
    <s v="APS60074"/>
    <x v="3"/>
    <s v="GP 2"/>
    <s v="Female"/>
    <x v="1"/>
    <d v="2025-10-17T00:00:00"/>
    <x v="0"/>
    <x v="1"/>
    <m/>
    <m/>
    <m/>
    <m/>
    <m/>
    <m/>
    <m/>
    <m/>
    <m/>
    <m/>
    <m/>
    <m/>
    <m/>
    <m/>
    <m/>
    <m/>
    <m/>
    <m/>
    <m/>
    <m/>
    <m/>
  </r>
  <r>
    <s v="2B0000008189E941"/>
    <s v="S4"/>
    <s v="DMR03163"/>
    <s v="APS60156_boost"/>
    <x v="3"/>
    <s v="GP 2"/>
    <s v="Female"/>
    <x v="3"/>
    <d v="2025-10-17T00:00:00"/>
    <x v="0"/>
    <x v="1"/>
    <m/>
    <m/>
    <m/>
    <m/>
    <m/>
    <m/>
    <m/>
    <m/>
    <m/>
    <m/>
    <m/>
    <m/>
    <m/>
    <m/>
    <m/>
    <m/>
    <m/>
    <m/>
    <m/>
    <m/>
    <m/>
  </r>
  <r>
    <s v="BD000000811A6E41"/>
    <s v="S9"/>
    <s v="DMR03168"/>
    <s v="APS60115_boost"/>
    <x v="3"/>
    <s v="GP 1"/>
    <s v="Female"/>
    <x v="5"/>
    <d v="2025-10-14T00:00:00"/>
    <x v="0"/>
    <x v="1"/>
    <m/>
    <m/>
    <m/>
    <m/>
    <m/>
    <m/>
    <m/>
    <m/>
    <m/>
    <m/>
    <m/>
    <m/>
    <m/>
    <m/>
    <m/>
    <m/>
    <m/>
    <m/>
    <m/>
    <m/>
    <m/>
  </r>
  <r>
    <s v="DF00000081814041"/>
    <s v="B1"/>
    <s v="DMR03181"/>
    <s v="APS60135"/>
    <x v="2"/>
    <s v="GP 2"/>
    <s v="Female"/>
    <x v="2"/>
    <d v="2025-10-17T00:00:00"/>
    <x v="0"/>
    <x v="1"/>
    <s v="Off-centered"/>
    <s v="Off-centered to avoid wound of pittag "/>
    <m/>
    <m/>
    <m/>
    <m/>
    <m/>
    <m/>
    <m/>
    <m/>
    <m/>
    <m/>
    <m/>
    <m/>
    <m/>
    <m/>
    <m/>
    <m/>
    <m/>
    <m/>
    <m/>
  </r>
  <r>
    <s v="0700000081190F41"/>
    <s v="B3"/>
    <s v="DMR03155"/>
    <s v="APS36033"/>
    <x v="2"/>
    <s v="GP 2"/>
    <s v="Female"/>
    <x v="2"/>
    <d v="2025-10-17T00:00:00"/>
    <x v="0"/>
    <x v="1"/>
    <m/>
    <m/>
    <m/>
    <m/>
    <m/>
    <m/>
    <m/>
    <m/>
    <m/>
    <m/>
    <m/>
    <m/>
    <m/>
    <m/>
    <m/>
    <m/>
    <m/>
    <m/>
    <m/>
    <m/>
    <m/>
  </r>
  <r>
    <s v="63000000811C2F41"/>
    <s v="B8"/>
    <s v="DMR03180"/>
    <s v="APS60146"/>
    <x v="2"/>
    <s v="GP 2"/>
    <s v="Male"/>
    <x v="2"/>
    <d v="2025-10-17T00:00:00"/>
    <x v="0"/>
    <x v="1"/>
    <m/>
    <m/>
    <m/>
    <m/>
    <m/>
    <m/>
    <m/>
    <m/>
    <m/>
    <m/>
    <m/>
    <m/>
    <m/>
    <m/>
    <m/>
    <m/>
    <m/>
    <m/>
    <m/>
    <m/>
    <m/>
  </r>
  <r>
    <s v="1C000000811B7F41"/>
    <s v="J6"/>
    <s v="DMR03192"/>
    <s v="APS60113_boost"/>
    <x v="2"/>
    <s v="GP 2"/>
    <s v="Male"/>
    <x v="3"/>
    <d v="2025-10-17T00:00:00"/>
    <x v="0"/>
    <x v="1"/>
    <m/>
    <m/>
    <m/>
    <m/>
    <m/>
    <m/>
    <m/>
    <m/>
    <m/>
    <m/>
    <m/>
    <m/>
    <m/>
    <m/>
    <m/>
    <m/>
    <m/>
    <m/>
    <m/>
    <m/>
    <m/>
  </r>
  <r>
    <s v="7E00000081224441"/>
    <s v="J8"/>
    <s v="DMR03156"/>
    <s v="APS60111"/>
    <x v="2"/>
    <s v="GP 2"/>
    <s v="Female"/>
    <x v="2"/>
    <d v="2025-10-17T00:00:00"/>
    <x v="0"/>
    <x v="1"/>
    <m/>
    <m/>
    <m/>
    <m/>
    <m/>
    <m/>
    <m/>
    <m/>
    <m/>
    <m/>
    <m/>
    <m/>
    <m/>
    <m/>
    <m/>
    <m/>
    <m/>
    <m/>
    <m/>
    <m/>
    <m/>
  </r>
  <r>
    <s v="B5000000818B9E41"/>
    <s v="V1"/>
    <s v="NA"/>
    <s v="NA"/>
    <x v="4"/>
    <s v=""/>
    <s v=""/>
    <x v="4"/>
    <s v="NA"/>
    <x v="4"/>
    <x v="5"/>
    <m/>
    <m/>
    <m/>
    <m/>
    <m/>
    <m/>
    <m/>
    <m/>
    <m/>
    <m/>
    <m/>
    <m/>
    <m/>
    <m/>
    <m/>
    <m/>
    <m/>
    <m/>
    <m/>
    <m/>
    <m/>
  </r>
  <r>
    <s v="1C00000081866F41"/>
    <s v="S8"/>
    <s v="DMR03154"/>
    <s v="APS60123_boost"/>
    <x v="2"/>
    <s v="GP 1"/>
    <s v="Male"/>
    <x v="5"/>
    <d v="2025-10-14T00:00:00"/>
    <x v="0"/>
    <x v="1"/>
    <m/>
    <m/>
    <m/>
    <m/>
    <m/>
    <m/>
    <m/>
    <m/>
    <m/>
    <m/>
    <m/>
    <m/>
    <m/>
    <m/>
    <m/>
    <m/>
    <m/>
    <m/>
    <m/>
    <m/>
    <m/>
  </r>
  <r>
    <s v="E500000081218941"/>
    <s v="V3"/>
    <s v="NA"/>
    <s v="NA"/>
    <x v="4"/>
    <s v=""/>
    <s v=""/>
    <x v="4"/>
    <m/>
    <x v="4"/>
    <x v="5"/>
    <m/>
    <m/>
    <m/>
    <m/>
    <m/>
    <m/>
    <m/>
    <m/>
    <m/>
    <m/>
    <m/>
    <m/>
    <m/>
    <m/>
    <m/>
    <m/>
    <m/>
    <m/>
    <m/>
    <m/>
    <m/>
  </r>
  <r>
    <s v=" "/>
    <m/>
    <m/>
    <m/>
    <x v="6"/>
    <m/>
    <m/>
    <x v="6"/>
    <m/>
    <x v="5"/>
    <x v="10"/>
    <m/>
    <m/>
    <m/>
    <m/>
    <m/>
    <m/>
    <m/>
    <m/>
    <m/>
    <m/>
    <m/>
    <m/>
    <m/>
    <m/>
    <m/>
    <m/>
    <m/>
    <m/>
    <m/>
    <m/>
    <m/>
  </r>
  <r>
    <m/>
    <m/>
    <m/>
    <m/>
    <x v="6"/>
    <m/>
    <m/>
    <x v="6"/>
    <m/>
    <x v="5"/>
    <x v="10"/>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 Table 2" cacheId="7" applyNumberFormats="0" applyBorderFormats="0" applyFontFormats="0" applyPatternFormats="0" applyAlignmentFormats="0" applyWidthHeightFormats="0" dataCaption="" updatedVersion="8" compact="0" compactData="0">
  <location ref="A4:C7" firstHeaderRow="1" firstDataRow="2" firstDataCol="1" rowPageCount="2" colPageCount="1"/>
  <pivotFields count="32">
    <pivotField name="Serial Number" compact="0" outline="0" multipleItemSelectionAllowed="1" showAll="0"/>
    <pivotField name="Logger Name" compact="0" outline="0" multipleItemSelectionAllowed="1" showAll="0"/>
    <pivotField name="Bat Band" compact="0" outline="0" multipleItemSelectionAllowed="1" showAll="0"/>
    <pivotField name="Bat Pittag" compact="0" outline="0" multipleItemSelectionAllowed="1" showAll="0"/>
    <pivotField name="Treatment" axis="axisRow" compact="0" outline="0" multipleItemSelectionAllowed="1" showAll="0" sortType="ascending">
      <items count="8">
        <item x="1"/>
        <item x="4"/>
        <item x="0"/>
        <item x="5"/>
        <item x="3"/>
        <item x="2"/>
        <item x="6"/>
        <item t="default"/>
      </items>
    </pivotField>
    <pivotField name="Group" compact="0" outline="0" multipleItemSelectionAllowed="1" showAll="0"/>
    <pivotField name="Sex" compact="0" outline="0" multipleItemSelectionAllowed="1" showAll="0"/>
    <pivotField name="Date Attached" axis="axisCol" compact="0" outline="0" multipleItemSelectionAllowed="1" showAll="0" sortType="ascending">
      <items count="8">
        <item x="4"/>
        <item x="1"/>
        <item x="0"/>
        <item x="2"/>
        <item x="5"/>
        <item x="3"/>
        <item x="6"/>
        <item t="default"/>
      </items>
    </pivotField>
    <pivotField name="Date Removed" compact="0" outline="0" multipleItemSelectionAllowed="1" showAll="0"/>
    <pivotField name="BUTT Status " axis="axisPage" dataField="1" compact="0" outline="0" multipleItemSelectionAllowed="1" showAll="0">
      <items count="7">
        <item x="0"/>
        <item h="1" x="1"/>
        <item h="1" x="2"/>
        <item x="3"/>
        <item h="1" x="4"/>
        <item h="1" x="5"/>
        <item t="default"/>
      </items>
    </pivotField>
    <pivotField name="Experiment D Died" axis="axisPage" compact="0" outline="0" multipleItemSelectionAllowed="1" showAll="0">
      <items count="12">
        <item x="0"/>
        <item h="1" x="1"/>
        <item h="1" x="2"/>
        <item h="1" x="3"/>
        <item h="1" x="4"/>
        <item h="1" x="5"/>
        <item h="1" x="6"/>
        <item h="1" x="7"/>
        <item h="1" x="8"/>
        <item h="1" x="9"/>
        <item h="1" x="10"/>
        <item t="default"/>
      </items>
    </pivotField>
    <pivotField name="Logger location" compact="0" outline="0" multipleItemSelectionAllowed="1" showAll="0"/>
    <pivotField name="Notes" compact="0" outline="0" multipleItemSelectionAllowed="1" showAll="0"/>
    <pivotField name=" " compact="0" outline="0" multipleItemSelectionAllowed="1" showAll="0"/>
    <pivotField name=" 2" compact="0" outline="0" multipleItemSelectionAllowed="1" showAll="0"/>
    <pivotField name=" 3" compact="0" outline="0" multipleItemSelectionAllowed="1" showAll="0"/>
    <pivotField name=" 4" compact="0" outline="0" multipleItemSelectionAllowed="1" showAll="0"/>
    <pivotField name=" 5" compact="0" outline="0" multipleItemSelectionAllowed="1" showAll="0"/>
    <pivotField name=" 6" compact="0" outline="0" multipleItemSelectionAllowed="1" showAll="0"/>
    <pivotField name=" 7" compact="0" outline="0" multipleItemSelectionAllowed="1" showAll="0"/>
    <pivotField name=" 8" compact="0" outline="0" multipleItemSelectionAllowed="1" showAll="0"/>
    <pivotField name=" 9" compact="0" outline="0" multipleItemSelectionAllowed="1" showAll="0"/>
    <pivotField name=" 10" compact="0" outline="0" multipleItemSelectionAllowed="1" showAll="0"/>
    <pivotField name=" 11" compact="0" outline="0" multipleItemSelectionAllowed="1" showAll="0"/>
    <pivotField name=" 12" compact="0" outline="0" multipleItemSelectionAllowed="1" showAll="0"/>
    <pivotField name=" 13" compact="0" outline="0" multipleItemSelectionAllowed="1" showAll="0"/>
    <pivotField name=" 14" compact="0" outline="0" multipleItemSelectionAllowed="1" showAll="0"/>
    <pivotField name=" 15" compact="0" outline="0" multipleItemSelectionAllowed="1" showAll="0"/>
    <pivotField name=" 16" compact="0" outline="0" multipleItemSelectionAllowed="1" showAll="0"/>
    <pivotField name=" 17" compact="0" outline="0" multipleItemSelectionAllowed="1" showAll="0"/>
    <pivotField name=" 18" compact="0" outline="0" multipleItemSelectionAllowed="1" showAll="0"/>
    <pivotField name=" 19" compact="0" outline="0" multipleItemSelectionAllowed="1" showAll="0"/>
  </pivotFields>
  <rowFields count="1">
    <field x="4"/>
  </rowFields>
  <rowItems count="2">
    <i>
      <x v="2"/>
    </i>
    <i t="grand">
      <x/>
    </i>
  </rowItems>
  <colFields count="1">
    <field x="7"/>
  </colFields>
  <colItems count="2">
    <i>
      <x v="2"/>
    </i>
    <i t="grand">
      <x/>
    </i>
  </colItems>
  <pageFields count="2">
    <pageField fld="9" hier="0"/>
    <pageField fld="10" hier="0"/>
  </pageFields>
  <dataFields count="1">
    <dataField name="COUNTA of BUTT Status " fld="9"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328125" defaultRowHeight="15.75" customHeight="1" x14ac:dyDescent="0.25"/>
  <sheetData>
    <row r="1" spans="1:1" ht="15.75" customHeight="1" x14ac:dyDescent="0.25">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59"/>
  <sheetViews>
    <sheetView tabSelected="1" workbookViewId="0">
      <pane xSplit="2" ySplit="1" topLeftCell="C29" activePane="bottomRight" state="frozen"/>
      <selection pane="topRight" activeCell="C1" sqref="C1"/>
      <selection pane="bottomLeft" activeCell="A2" sqref="A2"/>
      <selection pane="bottomRight" activeCell="L43" sqref="L43"/>
    </sheetView>
  </sheetViews>
  <sheetFormatPr defaultColWidth="12.6328125" defaultRowHeight="15.75" customHeight="1" x14ac:dyDescent="0.25"/>
  <cols>
    <col min="1" max="1" width="16.26953125" customWidth="1"/>
    <col min="11" max="11" width="12.6328125" style="27"/>
  </cols>
  <sheetData>
    <row r="1" spans="1:33" ht="15.75" customHeight="1" x14ac:dyDescent="0.35">
      <c r="A1" s="2" t="s">
        <v>1</v>
      </c>
      <c r="B1" s="2" t="s">
        <v>2</v>
      </c>
      <c r="C1" s="2" t="s">
        <v>3</v>
      </c>
      <c r="D1" s="2" t="s">
        <v>4</v>
      </c>
      <c r="E1" s="2" t="s">
        <v>5</v>
      </c>
      <c r="F1" s="2" t="s">
        <v>6</v>
      </c>
      <c r="G1" s="2" t="s">
        <v>7</v>
      </c>
      <c r="H1" s="2" t="s">
        <v>8</v>
      </c>
      <c r="I1" s="2" t="s">
        <v>9</v>
      </c>
      <c r="J1" s="2" t="s">
        <v>10</v>
      </c>
      <c r="K1" s="2" t="s">
        <v>340</v>
      </c>
      <c r="L1" s="2" t="s">
        <v>11</v>
      </c>
      <c r="M1" s="2" t="s">
        <v>12</v>
      </c>
      <c r="N1" s="2" t="s">
        <v>13</v>
      </c>
      <c r="O1" s="3" t="s">
        <v>14</v>
      </c>
      <c r="P1" s="3" t="s">
        <v>14</v>
      </c>
      <c r="Q1" s="3" t="s">
        <v>14</v>
      </c>
      <c r="R1" s="3" t="s">
        <v>14</v>
      </c>
      <c r="S1" s="3" t="s">
        <v>14</v>
      </c>
      <c r="T1" s="3" t="s">
        <v>14</v>
      </c>
      <c r="U1" s="3" t="s">
        <v>14</v>
      </c>
      <c r="V1" s="3" t="s">
        <v>14</v>
      </c>
      <c r="W1" s="3" t="s">
        <v>14</v>
      </c>
      <c r="X1" s="3" t="s">
        <v>14</v>
      </c>
      <c r="Y1" s="3" t="s">
        <v>14</v>
      </c>
      <c r="Z1" s="3" t="s">
        <v>14</v>
      </c>
      <c r="AA1" s="3" t="s">
        <v>14</v>
      </c>
      <c r="AB1" s="3" t="s">
        <v>14</v>
      </c>
      <c r="AC1" s="3" t="s">
        <v>14</v>
      </c>
      <c r="AD1" s="3" t="s">
        <v>14</v>
      </c>
      <c r="AE1" s="3" t="s">
        <v>14</v>
      </c>
      <c r="AF1" s="3" t="s">
        <v>14</v>
      </c>
      <c r="AG1" s="3" t="s">
        <v>14</v>
      </c>
    </row>
    <row r="2" spans="1:33" ht="15.75" customHeight="1" x14ac:dyDescent="0.25">
      <c r="A2" s="1" t="s">
        <v>15</v>
      </c>
      <c r="B2" s="1" t="s">
        <v>16</v>
      </c>
      <c r="C2" s="1" t="s">
        <v>17</v>
      </c>
      <c r="D2" s="1" t="s">
        <v>18</v>
      </c>
      <c r="E2" s="1" t="str">
        <f t="array" ref="E2">IFERROR(INDEX(Metadata!M:M, MATCH(C2,Metadata!A:A, 0)),"")</f>
        <v>NoCo</v>
      </c>
      <c r="F2" s="1" t="str">
        <f t="array" ref="F2">IFERROR(INDEX(Metadata!N:N, MATCH(D2,Metadata!B:B, 0)),"")</f>
        <v>GP 1</v>
      </c>
      <c r="G2" s="1" t="str">
        <f t="array" ref="G2">IFERROR(INDEX(Metadata!I:I, MATCH(D2,Metadata!B:B, 0)),"")</f>
        <v>Male</v>
      </c>
      <c r="H2" s="4">
        <v>45906</v>
      </c>
      <c r="I2" s="4">
        <v>45910</v>
      </c>
      <c r="J2" s="1" t="s">
        <v>19</v>
      </c>
      <c r="K2" s="26">
        <v>1</v>
      </c>
      <c r="L2" s="1" t="str">
        <f t="array" ref="L2">IFERROR(INDEX(Metadata!O:O, MATCH(C2,Metadata!A:A, 0)),"")</f>
        <v>D3</v>
      </c>
    </row>
    <row r="3" spans="1:33" ht="15.75" customHeight="1" x14ac:dyDescent="0.25">
      <c r="A3" s="1" t="s">
        <v>97</v>
      </c>
      <c r="B3" s="1" t="s">
        <v>98</v>
      </c>
      <c r="C3" s="1" t="s">
        <v>99</v>
      </c>
      <c r="D3" s="1" t="s">
        <v>100</v>
      </c>
      <c r="E3" s="1" t="str">
        <f t="array" ref="E3">IFERROR(INDEX(Metadata!M:M, MATCH(C3,Metadata!A:A, 0)),"")</f>
        <v>Primary</v>
      </c>
      <c r="F3" s="1" t="str">
        <f>IFERROR(INDEX(Metadata!N:N, MATCH(C3,Metadata!A:A, 0)),"")</f>
        <v>GP 2</v>
      </c>
      <c r="G3" s="1" t="str">
        <f>IFERROR(INDEX(Metadata!I:I, MATCH(C3,Metadata!A:A, 0)),"")</f>
        <v>Male</v>
      </c>
      <c r="H3" s="4">
        <v>45902</v>
      </c>
      <c r="I3" s="4">
        <v>45947</v>
      </c>
      <c r="J3" s="1" t="s">
        <v>19</v>
      </c>
      <c r="K3" s="26">
        <v>1</v>
      </c>
      <c r="L3" s="1" t="str">
        <f t="array" ref="L3">IFERROR(INDEX(Metadata!O:O, MATCH(C3,Metadata!A:A, 0)),"")</f>
        <v>D36</v>
      </c>
    </row>
    <row r="4" spans="1:33" ht="15.75" customHeight="1" x14ac:dyDescent="0.25">
      <c r="A4" s="1" t="s">
        <v>20</v>
      </c>
      <c r="B4" s="1" t="s">
        <v>21</v>
      </c>
      <c r="C4" s="1" t="s">
        <v>22</v>
      </c>
      <c r="D4" s="1" t="s">
        <v>23</v>
      </c>
      <c r="E4" s="1" t="str">
        <f t="array" ref="E4">IFERROR(INDEX(Metadata!M:M, MATCH(C4,Metadata!A:A, 0)),"")</f>
        <v>Dual</v>
      </c>
      <c r="F4" s="1" t="str">
        <f>IFERROR(INDEX(Metadata!N:N, MATCH(C4,Metadata!A:A, 0)),"")</f>
        <v>GP 2</v>
      </c>
      <c r="G4" s="1" t="str">
        <f>IFERROR(INDEX(Metadata!I:I, MATCH(C4,Metadata!A:A, 0)),"")</f>
        <v>Male</v>
      </c>
      <c r="H4" s="4">
        <v>45902</v>
      </c>
      <c r="I4" s="4">
        <v>45947</v>
      </c>
      <c r="J4" s="1" t="s">
        <v>19</v>
      </c>
      <c r="K4" s="26">
        <v>1</v>
      </c>
      <c r="L4" s="1" t="str">
        <f t="array" ref="L4">IFERROR(INDEX(Metadata!O:O, MATCH(C4,Metadata!A:A, 0)),"")</f>
        <v>D36</v>
      </c>
    </row>
    <row r="5" spans="1:33" ht="15.75" customHeight="1" x14ac:dyDescent="0.25">
      <c r="A5" s="1" t="s">
        <v>28</v>
      </c>
      <c r="B5" s="1" t="s">
        <v>29</v>
      </c>
      <c r="C5" s="1" t="s">
        <v>30</v>
      </c>
      <c r="D5" s="1" t="s">
        <v>31</v>
      </c>
      <c r="E5" s="1" t="str">
        <f t="array" ref="E5">IFERROR(INDEX(Metadata!M:M, MATCH(C5,Metadata!A:A, 0)),"")</f>
        <v>SHAM</v>
      </c>
      <c r="F5" s="1" t="str">
        <f>IFERROR(INDEX(Metadata!N:N, MATCH(C5,Metadata!A:A, 0)),"")</f>
        <v>GP 1</v>
      </c>
      <c r="G5" s="1" t="str">
        <f>IFERROR(INDEX(Metadata!I:I, MATCH(C5,Metadata!A:A, 0)),"")</f>
        <v>Male</v>
      </c>
      <c r="H5" s="4">
        <v>45906</v>
      </c>
      <c r="I5" s="4">
        <v>45929</v>
      </c>
      <c r="J5" s="5" t="s">
        <v>32</v>
      </c>
      <c r="K5" s="26">
        <v>1</v>
      </c>
      <c r="L5" s="1" t="str">
        <f t="array" ref="L5">IFERROR(INDEX(Metadata!O:O, MATCH(C5,Metadata!A:A, 0)),"")</f>
        <v>D36</v>
      </c>
    </row>
    <row r="6" spans="1:33" ht="15.75" customHeight="1" x14ac:dyDescent="0.25">
      <c r="A6" s="1">
        <v>200000081173241</v>
      </c>
      <c r="B6" s="1" t="s">
        <v>33</v>
      </c>
      <c r="C6" s="1" t="s">
        <v>34</v>
      </c>
      <c r="D6" s="1" t="s">
        <v>35</v>
      </c>
      <c r="E6" s="1" t="str">
        <f t="array" ref="E6">IFERROR(INDEX(Metadata!M:M, MATCH(C6,Metadata!A:A, 0)),"")</f>
        <v>Dual</v>
      </c>
      <c r="F6" s="1" t="str">
        <f>IFERROR(INDEX(Metadata!N:N, MATCH(C6,Metadata!A:A, 0)),"")</f>
        <v>GP 1</v>
      </c>
      <c r="G6" s="1" t="str">
        <f>IFERROR(INDEX(Metadata!I:I, MATCH(C6,Metadata!A:A, 0)),"")</f>
        <v>Female</v>
      </c>
      <c r="H6" s="4">
        <v>45902</v>
      </c>
      <c r="I6" s="4">
        <v>45929</v>
      </c>
      <c r="J6" s="1" t="s">
        <v>19</v>
      </c>
      <c r="K6" s="26">
        <v>1</v>
      </c>
      <c r="L6" s="1" t="str">
        <f t="array" ref="L6">IFERROR(INDEX(Metadata!O:O, MATCH(C6,Metadata!A:A, 0)),"")</f>
        <v>D36</v>
      </c>
    </row>
    <row r="7" spans="1:33" ht="15.75" customHeight="1" x14ac:dyDescent="0.25">
      <c r="A7" s="1" t="s">
        <v>36</v>
      </c>
      <c r="B7" s="1" t="s">
        <v>37</v>
      </c>
      <c r="C7" s="1" t="s">
        <v>38</v>
      </c>
      <c r="D7" s="1" t="s">
        <v>39</v>
      </c>
      <c r="E7" s="1" t="str">
        <f t="array" ref="E7">IFERROR(INDEX(Metadata!M:M, MATCH(C7,Metadata!A:A, 0)),"")</f>
        <v>Secondary</v>
      </c>
      <c r="F7" s="1" t="str">
        <f>IFERROR(INDEX(Metadata!N:N, MATCH(C7,Metadata!A:A, 0)),"")</f>
        <v>GP 2</v>
      </c>
      <c r="G7" s="1" t="str">
        <f>IFERROR(INDEX(Metadata!I:I, MATCH(C7,Metadata!A:A, 0)),"")</f>
        <v>Female</v>
      </c>
      <c r="H7" s="4">
        <v>45902</v>
      </c>
      <c r="I7" s="4">
        <v>45938</v>
      </c>
      <c r="J7" s="1" t="s">
        <v>19</v>
      </c>
      <c r="K7" s="26">
        <v>1</v>
      </c>
      <c r="L7" s="1" t="str">
        <f t="array" ref="L7">IFERROR(INDEX(Metadata!O:O, MATCH(C7,Metadata!A:A, 0)),"")</f>
        <v>D27</v>
      </c>
    </row>
    <row r="8" spans="1:33" ht="15.75" customHeight="1" x14ac:dyDescent="0.25">
      <c r="A8" s="1" t="s">
        <v>40</v>
      </c>
      <c r="B8" s="1" t="s">
        <v>41</v>
      </c>
      <c r="C8" s="1" t="s">
        <v>42</v>
      </c>
      <c r="D8" s="1" t="s">
        <v>43</v>
      </c>
      <c r="E8" s="1" t="str">
        <f t="array" ref="E8">IFERROR(INDEX(Metadata!M:M, MATCH(C8,Metadata!A:A, 0)),"")</f>
        <v>NoCo</v>
      </c>
      <c r="F8" s="1" t="str">
        <f>IFERROR(INDEX(Metadata!N:N, MATCH(C8,Metadata!A:A, 0)),"")</f>
        <v>GP 2</v>
      </c>
      <c r="G8" s="1" t="str">
        <f>IFERROR(INDEX(Metadata!I:I, MATCH(C8,Metadata!A:A, 0)),"")</f>
        <v>Female</v>
      </c>
      <c r="H8" s="4">
        <v>45909</v>
      </c>
      <c r="I8" s="4">
        <v>45916</v>
      </c>
      <c r="J8" s="1" t="s">
        <v>19</v>
      </c>
      <c r="K8" s="26">
        <v>1</v>
      </c>
      <c r="L8" s="1" t="str">
        <f t="array" ref="L8">IFERROR(INDEX(Metadata!O:O, MATCH(C8,Metadata!A:A, 0)),"")</f>
        <v>D5</v>
      </c>
    </row>
    <row r="9" spans="1:33" ht="15.75" customHeight="1" x14ac:dyDescent="0.25">
      <c r="A9" s="1" t="s">
        <v>24</v>
      </c>
      <c r="B9" s="1" t="s">
        <v>25</v>
      </c>
      <c r="C9" s="1" t="s">
        <v>26</v>
      </c>
      <c r="D9" s="1" t="s">
        <v>27</v>
      </c>
      <c r="E9" s="1" t="str">
        <f t="array" ref="E9">IFERROR(INDEX(Metadata!M:M, MATCH(C9,Metadata!A:A, 0)),"")</f>
        <v>Dual</v>
      </c>
      <c r="F9" s="1" t="str">
        <f>IFERROR(INDEX(Metadata!N:N, MATCH(C9,Metadata!A:A, 0)),"")</f>
        <v>GP 1</v>
      </c>
      <c r="G9" s="1" t="str">
        <f>IFERROR(INDEX(Metadata!I:I, MATCH(C9,Metadata!A:A, 0)),"")</f>
        <v>Female</v>
      </c>
      <c r="H9" s="4">
        <v>45902</v>
      </c>
      <c r="I9" s="4">
        <v>45944</v>
      </c>
      <c r="J9" s="1" t="s">
        <v>19</v>
      </c>
      <c r="K9" s="26">
        <v>1</v>
      </c>
      <c r="L9" s="1" t="str">
        <f t="array" ref="L9">IFERROR(INDEX(Metadata!O:O, MATCH(C9,Metadata!A:A, 0)),"")</f>
        <v>D36</v>
      </c>
    </row>
    <row r="10" spans="1:33" ht="15.75" customHeight="1" x14ac:dyDescent="0.25">
      <c r="A10" s="1" t="s">
        <v>48</v>
      </c>
      <c r="B10" s="1" t="s">
        <v>49</v>
      </c>
      <c r="C10" s="1" t="s">
        <v>50</v>
      </c>
      <c r="D10" s="1" t="s">
        <v>51</v>
      </c>
      <c r="E10" s="1" t="str">
        <f t="array" ref="E10">IFERROR(INDEX(Metadata!M:M, MATCH(C10,Metadata!A:A, 0)),"")</f>
        <v>NoCo</v>
      </c>
      <c r="F10" s="1" t="str">
        <f>IFERROR(INDEX(Metadata!N:N, MATCH(C10,Metadata!A:A, 0)),"")</f>
        <v>GP 1</v>
      </c>
      <c r="G10" s="1" t="str">
        <f>IFERROR(INDEX(Metadata!I:I, MATCH(C10,Metadata!A:A, 0)),"")</f>
        <v>Female</v>
      </c>
      <c r="H10" s="4">
        <v>45906</v>
      </c>
      <c r="I10" s="4">
        <v>45915</v>
      </c>
      <c r="J10" s="1" t="s">
        <v>52</v>
      </c>
      <c r="K10" s="26">
        <v>1</v>
      </c>
      <c r="L10" s="1" t="str">
        <f t="array" ref="L10">IFERROR(INDEX(Metadata!O:O, MATCH(C10,Metadata!A:A, 0)),"")</f>
        <v>D6</v>
      </c>
    </row>
    <row r="11" spans="1:33" ht="15.75" customHeight="1" x14ac:dyDescent="0.25">
      <c r="A11" s="1" t="s">
        <v>193</v>
      </c>
      <c r="B11" s="1" t="s">
        <v>194</v>
      </c>
      <c r="C11" s="1" t="s">
        <v>195</v>
      </c>
      <c r="D11" s="1" t="s">
        <v>196</v>
      </c>
      <c r="E11" s="1" t="str">
        <f t="array" ref="E11">IFERROR(INDEX(Metadata!M:M, MATCH(C11,Metadata!A:A, 0)),"")</f>
        <v>SHAM</v>
      </c>
      <c r="F11" s="1" t="str">
        <f>IFERROR(INDEX(Metadata!N:N, MATCH(C11,Metadata!A:A, 0)),"")</f>
        <v>GP 2</v>
      </c>
      <c r="G11" s="1" t="str">
        <f>IFERROR(INDEX(Metadata!I:I, MATCH(C11,Metadata!A:A, 0)),"")</f>
        <v>Female</v>
      </c>
      <c r="H11" s="4">
        <v>45909</v>
      </c>
      <c r="I11" s="4">
        <v>45947</v>
      </c>
      <c r="J11" s="1" t="s">
        <v>19</v>
      </c>
      <c r="K11" s="26">
        <v>1</v>
      </c>
      <c r="L11" s="1" t="str">
        <f t="array" ref="L11">IFERROR(INDEX(Metadata!O:O, MATCH(C11,Metadata!A:A, 0)),"")</f>
        <v>D36</v>
      </c>
      <c r="M11" s="1" t="s">
        <v>197</v>
      </c>
      <c r="N11" s="1" t="s">
        <v>198</v>
      </c>
    </row>
    <row r="12" spans="1:33" ht="15.75" customHeight="1" x14ac:dyDescent="0.25">
      <c r="A12" s="1" t="s">
        <v>58</v>
      </c>
      <c r="B12" s="1" t="s">
        <v>59</v>
      </c>
      <c r="C12" s="1" t="s">
        <v>60</v>
      </c>
      <c r="D12" s="1" t="s">
        <v>60</v>
      </c>
      <c r="E12" s="1" t="s">
        <v>60</v>
      </c>
      <c r="F12" s="1" t="str">
        <f>IFERROR(INDEX(Metadata!N:N, MATCH(C12,Metadata!A:A, 0)),"")</f>
        <v/>
      </c>
      <c r="G12" s="1" t="str">
        <f>IFERROR(INDEX(Metadata!I:I, MATCH(C12,Metadata!A:A, 0)),"")</f>
        <v/>
      </c>
      <c r="H12" s="1" t="s">
        <v>60</v>
      </c>
      <c r="I12" s="1" t="s">
        <v>60</v>
      </c>
      <c r="J12" s="1" t="s">
        <v>61</v>
      </c>
      <c r="K12" s="26">
        <v>1</v>
      </c>
      <c r="L12" s="1" t="s">
        <v>60</v>
      </c>
    </row>
    <row r="13" spans="1:33" ht="15.75" customHeight="1" x14ac:dyDescent="0.25">
      <c r="A13" s="1" t="s">
        <v>199</v>
      </c>
      <c r="B13" s="1" t="s">
        <v>200</v>
      </c>
      <c r="C13" s="1" t="s">
        <v>201</v>
      </c>
      <c r="D13" s="1" t="s">
        <v>202</v>
      </c>
      <c r="E13" s="1" t="str">
        <f t="array" ref="E13">IFERROR(INDEX(Metadata!M:M, MATCH(C13,Metadata!A:A, 0)),"")</f>
        <v>SHAM</v>
      </c>
      <c r="F13" s="1" t="str">
        <f>IFERROR(INDEX(Metadata!N:N, MATCH(C13,Metadata!A:A, 0)),"")</f>
        <v>GP 2</v>
      </c>
      <c r="G13" s="1" t="str">
        <f>IFERROR(INDEX(Metadata!I:I, MATCH(C13,Metadata!A:A, 0)),"")</f>
        <v>Female</v>
      </c>
      <c r="H13" s="4">
        <v>45909</v>
      </c>
      <c r="I13" s="4">
        <v>45947</v>
      </c>
      <c r="J13" s="1" t="s">
        <v>19</v>
      </c>
      <c r="K13" s="26">
        <v>1</v>
      </c>
      <c r="L13" s="1" t="str">
        <f t="array" ref="L13">IFERROR(INDEX(Metadata!O:O, MATCH(C13,Metadata!A:A, 0)),"")</f>
        <v>D36</v>
      </c>
    </row>
    <row r="14" spans="1:33" ht="15.75" customHeight="1" x14ac:dyDescent="0.25">
      <c r="A14" s="1" t="s">
        <v>170</v>
      </c>
      <c r="B14" s="1" t="s">
        <v>171</v>
      </c>
      <c r="C14" s="1" t="s">
        <v>172</v>
      </c>
      <c r="D14" s="1" t="s">
        <v>173</v>
      </c>
      <c r="E14" s="1" t="str">
        <f t="array" ref="E14">IFERROR(INDEX(Metadata!M:M, MATCH(C14,Metadata!A:A, 0)),"")</f>
        <v>Secondary</v>
      </c>
      <c r="F14" s="1" t="str">
        <f>IFERROR(INDEX(Metadata!N:N, MATCH(C14,Metadata!A:A, 0)),"")</f>
        <v>GP 1</v>
      </c>
      <c r="G14" s="1" t="str">
        <f>IFERROR(INDEX(Metadata!I:I, MATCH(C14,Metadata!A:A, 0)),"")</f>
        <v>Female</v>
      </c>
      <c r="H14" s="4">
        <v>45902</v>
      </c>
      <c r="I14" s="4">
        <v>45944</v>
      </c>
      <c r="J14" s="1" t="s">
        <v>19</v>
      </c>
      <c r="K14" s="26">
        <v>1</v>
      </c>
      <c r="L14" s="1" t="str">
        <f t="array" ref="L14">IFERROR(INDEX(Metadata!O:O, MATCH(C14,Metadata!A:A, 0)),"")</f>
        <v>D36</v>
      </c>
    </row>
    <row r="15" spans="1:33" ht="15.75" customHeight="1" x14ac:dyDescent="0.25">
      <c r="A15" s="1" t="s">
        <v>68</v>
      </c>
      <c r="B15" s="1" t="s">
        <v>69</v>
      </c>
      <c r="C15" s="1" t="s">
        <v>70</v>
      </c>
      <c r="D15" s="1" t="s">
        <v>71</v>
      </c>
      <c r="E15" s="1" t="str">
        <f t="array" ref="E15">IFERROR(INDEX(Metadata!M:M, MATCH(C15,Metadata!A:A, 0)),"")</f>
        <v>Secondary</v>
      </c>
      <c r="F15" s="1" t="str">
        <f>IFERROR(INDEX(Metadata!N:N, MATCH(C15,Metadata!A:A, 0)),"")</f>
        <v>GP 1</v>
      </c>
      <c r="G15" s="1" t="str">
        <f>IFERROR(INDEX(Metadata!I:I, MATCH(C15,Metadata!A:A, 0)),"")</f>
        <v>Male</v>
      </c>
      <c r="H15" s="4">
        <v>45902</v>
      </c>
      <c r="I15" s="4">
        <v>45911</v>
      </c>
      <c r="J15" s="1" t="s">
        <v>52</v>
      </c>
      <c r="K15" s="26">
        <v>1</v>
      </c>
      <c r="L15" s="1" t="str">
        <f t="array" ref="L15">IFERROR(INDEX(Metadata!O:O, MATCH(C15,Metadata!A:A, 0)),"")</f>
        <v>D3</v>
      </c>
    </row>
    <row r="16" spans="1:33" ht="15.75" customHeight="1" x14ac:dyDescent="0.25">
      <c r="A16" s="1" t="s">
        <v>72</v>
      </c>
      <c r="B16" s="1" t="s">
        <v>73</v>
      </c>
      <c r="C16" s="1" t="s">
        <v>74</v>
      </c>
      <c r="D16" s="1" t="s">
        <v>75</v>
      </c>
      <c r="E16" s="1" t="str">
        <f t="array" ref="E16">IFERROR(INDEX(Metadata!M:M, MATCH(C16,Metadata!A:A, 0)),"")</f>
        <v>SHAM</v>
      </c>
      <c r="F16" s="1" t="str">
        <f>IFERROR(INDEX(Metadata!N:N, MATCH(C16,Metadata!A:A, 0)),"")</f>
        <v>GP 1</v>
      </c>
      <c r="G16" s="1" t="str">
        <f>IFERROR(INDEX(Metadata!I:I, MATCH(C16,Metadata!A:A, 0)),"")</f>
        <v>Female</v>
      </c>
      <c r="H16" s="4">
        <v>45906</v>
      </c>
      <c r="I16" s="4">
        <v>45909</v>
      </c>
      <c r="J16" s="1" t="s">
        <v>19</v>
      </c>
      <c r="K16" s="26">
        <v>1</v>
      </c>
      <c r="L16" s="1" t="str">
        <f t="array" ref="L16">IFERROR(INDEX(Metadata!O:O, MATCH(C16,Metadata!A:A, 0)),"")</f>
        <v>D1</v>
      </c>
    </row>
    <row r="17" spans="1:14" ht="15.75" customHeight="1" x14ac:dyDescent="0.25">
      <c r="A17" s="1" t="s">
        <v>76</v>
      </c>
      <c r="B17" s="1" t="s">
        <v>77</v>
      </c>
      <c r="C17" s="1" t="s">
        <v>78</v>
      </c>
      <c r="D17" s="1" t="s">
        <v>79</v>
      </c>
      <c r="E17" s="1" t="str">
        <f t="array" ref="E17">IFERROR(INDEX(Metadata!M:M, MATCH(C17,Metadata!A:A, 0)),"")</f>
        <v>NoCo</v>
      </c>
      <c r="F17" s="1" t="str">
        <f>IFERROR(INDEX(Metadata!N:N, MATCH(C17,Metadata!A:A, 0)),"")</f>
        <v>GP 1</v>
      </c>
      <c r="G17" s="1" t="str">
        <f>IFERROR(INDEX(Metadata!I:I, MATCH(C17,Metadata!A:A, 0)),"")</f>
        <v>Male</v>
      </c>
      <c r="H17" s="4">
        <v>45906</v>
      </c>
      <c r="I17" s="4">
        <v>45929</v>
      </c>
      <c r="J17" s="1" t="s">
        <v>19</v>
      </c>
      <c r="K17" s="26">
        <v>1</v>
      </c>
      <c r="L17" s="1" t="str">
        <f t="array" ref="L17">IFERROR(INDEX(Metadata!O:O, MATCH(C17,Metadata!A:A, 0)),"")</f>
        <v>D36</v>
      </c>
    </row>
    <row r="18" spans="1:14" ht="15.75" customHeight="1" x14ac:dyDescent="0.25">
      <c r="A18" s="1" t="s">
        <v>203</v>
      </c>
      <c r="B18" s="1" t="s">
        <v>204</v>
      </c>
      <c r="C18" s="1" t="s">
        <v>205</v>
      </c>
      <c r="D18" s="1" t="s">
        <v>206</v>
      </c>
      <c r="E18" s="1" t="str">
        <f t="array" ref="E18">IFERROR(INDEX(Metadata!M:M, MATCH(C18,Metadata!A:A, 0)),"")</f>
        <v>SHAM</v>
      </c>
      <c r="F18" s="1" t="str">
        <f>IFERROR(INDEX(Metadata!N:N, MATCH(C18,Metadata!A:A, 0)),"")</f>
        <v>GP 2</v>
      </c>
      <c r="G18" s="1" t="str">
        <f>IFERROR(INDEX(Metadata!I:I, MATCH(C18,Metadata!A:A, 0)),"")</f>
        <v>Male</v>
      </c>
      <c r="H18" s="4">
        <v>45909</v>
      </c>
      <c r="I18" s="4">
        <v>45947</v>
      </c>
      <c r="J18" s="1" t="s">
        <v>19</v>
      </c>
      <c r="K18" s="26">
        <v>1</v>
      </c>
      <c r="L18" s="1" t="str">
        <f t="array" ref="L18">IFERROR(INDEX(Metadata!O:O, MATCH(C18,Metadata!A:A, 0)),"")</f>
        <v>D36</v>
      </c>
    </row>
    <row r="19" spans="1:14" ht="15.75" customHeight="1" x14ac:dyDescent="0.25">
      <c r="A19" s="1" t="s">
        <v>44</v>
      </c>
      <c r="B19" s="1" t="s">
        <v>45</v>
      </c>
      <c r="C19" s="1" t="s">
        <v>46</v>
      </c>
      <c r="D19" s="1" t="s">
        <v>329</v>
      </c>
      <c r="E19" s="1" t="str">
        <f t="array" ref="E19">IFERROR(INDEX(Metadata!M:M, MATCH(C19,Metadata!A:A, 0)),"")</f>
        <v>Dual</v>
      </c>
      <c r="F19" s="1" t="str">
        <f>IFERROR(INDEX(Metadata!N:N, MATCH(C19,Metadata!A:A, 0)),"")</f>
        <v>GP 2</v>
      </c>
      <c r="G19" s="1" t="str">
        <f>IFERROR(INDEX(Metadata!I:I, MATCH(C19,Metadata!A:A, 0)),"")</f>
        <v>Male</v>
      </c>
      <c r="H19" s="4">
        <v>45932</v>
      </c>
      <c r="I19" s="4">
        <v>45947</v>
      </c>
      <c r="J19" s="1" t="s">
        <v>19</v>
      </c>
      <c r="K19" s="26">
        <v>1</v>
      </c>
      <c r="L19" s="1" t="str">
        <f t="array" ref="L19">IFERROR(INDEX(Metadata!O:O, MATCH(C19,Metadata!A:A, 0)),"")</f>
        <v>D36</v>
      </c>
    </row>
    <row r="20" spans="1:14" ht="15.75" customHeight="1" x14ac:dyDescent="0.25">
      <c r="A20" s="1" t="s">
        <v>101</v>
      </c>
      <c r="B20" s="1" t="s">
        <v>102</v>
      </c>
      <c r="C20" s="1" t="s">
        <v>103</v>
      </c>
      <c r="D20" s="1" t="s">
        <v>104</v>
      </c>
      <c r="E20" s="1" t="str">
        <f t="array" ref="E20">IFERROR(INDEX(Metadata!M:M, MATCH(C20,Metadata!A:A, 0)),"")</f>
        <v>Primary</v>
      </c>
      <c r="F20" s="1" t="str">
        <f>IFERROR(INDEX(Metadata!N:N, MATCH(C20,Metadata!A:A, 0)),"")</f>
        <v>GP 1</v>
      </c>
      <c r="G20" s="1" t="str">
        <f>IFERROR(INDEX(Metadata!I:I, MATCH(C20,Metadata!A:A, 0)),"")</f>
        <v>Female</v>
      </c>
      <c r="H20" s="4">
        <v>45902</v>
      </c>
      <c r="I20" s="4">
        <v>45944</v>
      </c>
      <c r="J20" s="1" t="s">
        <v>19</v>
      </c>
      <c r="K20" s="26">
        <v>1</v>
      </c>
      <c r="L20" s="1" t="str">
        <f t="array" ref="L20">IFERROR(INDEX(Metadata!O:O, MATCH(C20,Metadata!A:A, 0)),"")</f>
        <v>D36</v>
      </c>
    </row>
    <row r="21" spans="1:14" ht="15.75" customHeight="1" x14ac:dyDescent="0.25">
      <c r="A21" s="1" t="s">
        <v>92</v>
      </c>
      <c r="B21" s="1" t="s">
        <v>93</v>
      </c>
      <c r="C21" s="1" t="s">
        <v>94</v>
      </c>
      <c r="D21" s="1" t="s">
        <v>95</v>
      </c>
      <c r="E21" s="1" t="str">
        <f t="array" ref="E21">IFERROR(INDEX(Metadata!M:M, MATCH(C21,Metadata!A:A, 0)),"")</f>
        <v>NoCo</v>
      </c>
      <c r="F21" s="1" t="str">
        <f>IFERROR(INDEX(Metadata!N:N, MATCH(C21,Metadata!A:A, 0)),"")</f>
        <v>GP 2</v>
      </c>
      <c r="G21" s="1" t="str">
        <f>IFERROR(INDEX(Metadata!I:I, MATCH(C21,Metadata!A:A, 0)),"")</f>
        <v>Male</v>
      </c>
      <c r="H21" s="4">
        <v>45909</v>
      </c>
      <c r="I21" s="4">
        <v>45932</v>
      </c>
      <c r="J21" s="5" t="s">
        <v>32</v>
      </c>
      <c r="K21" s="26">
        <v>1</v>
      </c>
      <c r="L21" s="1" t="str">
        <f t="array" ref="L21">IFERROR(INDEX(Metadata!O:O, MATCH(C21,Metadata!A:A, 0)),"")</f>
        <v>D36</v>
      </c>
    </row>
    <row r="22" spans="1:14" ht="15.75" customHeight="1" x14ac:dyDescent="0.25">
      <c r="A22" s="1" t="s">
        <v>80</v>
      </c>
      <c r="B22" s="1" t="s">
        <v>81</v>
      </c>
      <c r="C22" s="1" t="s">
        <v>82</v>
      </c>
      <c r="D22" s="1" t="s">
        <v>83</v>
      </c>
      <c r="E22" s="1" t="str">
        <f t="array" ref="E22">IFERROR(INDEX(Metadata!M:M, MATCH(C22,Metadata!A:A, 0)),"")</f>
        <v>NoCo</v>
      </c>
      <c r="F22" s="1" t="str">
        <f>IFERROR(INDEX(Metadata!N:N, MATCH(C22,Metadata!A:A, 0)),"")</f>
        <v>GP 2</v>
      </c>
      <c r="G22" s="1" t="str">
        <f>IFERROR(INDEX(Metadata!I:I, MATCH(C22,Metadata!A:A, 0)),"")</f>
        <v>Male</v>
      </c>
      <c r="H22" s="4">
        <v>45909</v>
      </c>
      <c r="I22" s="4">
        <v>45947</v>
      </c>
      <c r="J22" s="1" t="s">
        <v>19</v>
      </c>
      <c r="K22" s="26">
        <v>1</v>
      </c>
      <c r="L22" s="1" t="str">
        <f t="array" ref="L22">IFERROR(INDEX(Metadata!O:O, MATCH(C22,Metadata!A:A, 0)),"")</f>
        <v>D36</v>
      </c>
      <c r="M22" s="1" t="s">
        <v>57</v>
      </c>
      <c r="N22" s="1" t="s">
        <v>84</v>
      </c>
    </row>
    <row r="23" spans="1:14" ht="15.75" customHeight="1" x14ac:dyDescent="0.25">
      <c r="A23" s="1" t="s">
        <v>117</v>
      </c>
      <c r="B23" s="1" t="s">
        <v>118</v>
      </c>
      <c r="C23" s="1" t="s">
        <v>119</v>
      </c>
      <c r="D23" s="1" t="s">
        <v>334</v>
      </c>
      <c r="E23" s="1" t="str">
        <f t="array" ref="E23">IFERROR(INDEX(Metadata!M:M, MATCH(C23,Metadata!A:A, 0)),"")</f>
        <v>Primary</v>
      </c>
      <c r="F23" s="1" t="str">
        <f>IFERROR(INDEX(Metadata!N:N, MATCH(C23,Metadata!A:A, 0)),"")</f>
        <v>GP 2</v>
      </c>
      <c r="G23" s="1" t="str">
        <f>IFERROR(INDEX(Metadata!I:I, MATCH(C23,Metadata!A:A, 0)),"")</f>
        <v>Male</v>
      </c>
      <c r="H23" s="4">
        <v>45932</v>
      </c>
      <c r="I23" s="4">
        <v>45947</v>
      </c>
      <c r="J23" s="1" t="s">
        <v>19</v>
      </c>
      <c r="K23" s="26">
        <v>1</v>
      </c>
      <c r="L23" s="1" t="str">
        <f t="array" ref="L23">IFERROR(INDEX(Metadata!O:O, MATCH(C23,Metadata!A:A, 0)),"")</f>
        <v>D36</v>
      </c>
    </row>
    <row r="24" spans="1:14" ht="15.75" customHeight="1" x14ac:dyDescent="0.25">
      <c r="A24" s="1" t="s">
        <v>125</v>
      </c>
      <c r="B24" s="1" t="s">
        <v>126</v>
      </c>
      <c r="C24" s="1" t="s">
        <v>127</v>
      </c>
      <c r="D24" s="1" t="s">
        <v>128</v>
      </c>
      <c r="E24" s="1" t="str">
        <f t="array" ref="E24">IFERROR(INDEX(Metadata!M:M, MATCH(C24,Metadata!A:A, 0)),"")</f>
        <v>Primary</v>
      </c>
      <c r="F24" s="1" t="str">
        <f>IFERROR(INDEX(Metadata!N:N, MATCH(C24,Metadata!A:A, 0)),"")</f>
        <v>GP 1</v>
      </c>
      <c r="G24" s="1" t="str">
        <f>IFERROR(INDEX(Metadata!I:I, MATCH(C24,Metadata!A:A, 0)),"")</f>
        <v>Male</v>
      </c>
      <c r="H24" s="4">
        <v>45902</v>
      </c>
      <c r="I24" s="4">
        <v>45944</v>
      </c>
      <c r="J24" s="1" t="s">
        <v>19</v>
      </c>
      <c r="K24" s="26">
        <v>1</v>
      </c>
      <c r="L24" s="1" t="str">
        <f t="array" ref="L24">IFERROR(INDEX(Metadata!O:O, MATCH(C24,Metadata!A:A, 0)),"")</f>
        <v>D36</v>
      </c>
    </row>
    <row r="25" spans="1:14" ht="15.75" customHeight="1" x14ac:dyDescent="0.25">
      <c r="A25" s="1" t="s">
        <v>105</v>
      </c>
      <c r="B25" s="1" t="s">
        <v>106</v>
      </c>
      <c r="C25" s="1" t="s">
        <v>107</v>
      </c>
      <c r="D25" s="1" t="s">
        <v>108</v>
      </c>
      <c r="E25" s="1" t="str">
        <f t="array" ref="E25">IFERROR(INDEX(Metadata!M:M, MATCH(C25,Metadata!A:A, 0)),"")</f>
        <v>Primary</v>
      </c>
      <c r="F25" s="1" t="str">
        <f>IFERROR(INDEX(Metadata!N:N, MATCH(C25,Metadata!A:A, 0)),"")</f>
        <v>GP 2</v>
      </c>
      <c r="G25" s="1" t="str">
        <f>IFERROR(INDEX(Metadata!I:I, MATCH(C25,Metadata!A:A, 0)),"")</f>
        <v>Female</v>
      </c>
      <c r="H25" s="4">
        <v>45902</v>
      </c>
      <c r="I25" s="4">
        <v>45932</v>
      </c>
      <c r="J25" s="1" t="s">
        <v>52</v>
      </c>
      <c r="K25" s="26">
        <v>1</v>
      </c>
      <c r="L25" s="1" t="str">
        <f t="array" ref="L25">IFERROR(INDEX(Metadata!O:O, MATCH(C25,Metadata!A:A, 0)),"")</f>
        <v>D36</v>
      </c>
    </row>
    <row r="26" spans="1:14" ht="12.5" x14ac:dyDescent="0.25">
      <c r="A26" s="1" t="s">
        <v>109</v>
      </c>
      <c r="B26" s="1" t="s">
        <v>110</v>
      </c>
      <c r="C26" s="1" t="s">
        <v>111</v>
      </c>
      <c r="D26" s="1" t="s">
        <v>112</v>
      </c>
      <c r="E26" s="1" t="str">
        <f t="array" ref="E26">IFERROR(INDEX(Metadata!M:M, MATCH(C26,Metadata!A:A, 0)),"")</f>
        <v>Dual</v>
      </c>
      <c r="F26" s="1" t="str">
        <f>IFERROR(INDEX(Metadata!N:N, MATCH(C26,Metadata!A:A, 0)),"")</f>
        <v>GP 2</v>
      </c>
      <c r="G26" s="1" t="str">
        <f>IFERROR(INDEX(Metadata!I:I, MATCH(C26,Metadata!A:A, 0)),"")</f>
        <v>Male</v>
      </c>
      <c r="H26" s="4">
        <v>45902</v>
      </c>
      <c r="I26" s="4">
        <v>45932</v>
      </c>
      <c r="J26" s="1" t="s">
        <v>19</v>
      </c>
      <c r="K26" s="26">
        <v>1</v>
      </c>
      <c r="L26" s="1" t="str">
        <f t="array" ref="L26">IFERROR(INDEX(Metadata!O:O, MATCH(C26,Metadata!A:A, 0)),"")</f>
        <v>D21</v>
      </c>
    </row>
    <row r="27" spans="1:14" ht="12.5" x14ac:dyDescent="0.25">
      <c r="A27" s="1" t="s">
        <v>113</v>
      </c>
      <c r="B27" s="1" t="s">
        <v>114</v>
      </c>
      <c r="C27" s="1" t="s">
        <v>115</v>
      </c>
      <c r="D27" s="1" t="s">
        <v>116</v>
      </c>
      <c r="E27" s="1" t="str">
        <f t="array" ref="E27">IFERROR(INDEX(Metadata!M:M, MATCH(C27,Metadata!A:A, 0)),"")</f>
        <v>Primary</v>
      </c>
      <c r="F27" s="1" t="str">
        <f>IFERROR(INDEX(Metadata!N:N, MATCH(C27,Metadata!A:A, 0)),"")</f>
        <v>GP 1</v>
      </c>
      <c r="G27" s="1" t="str">
        <f>IFERROR(INDEX(Metadata!I:I, MATCH(C27,Metadata!A:A, 0)),"")</f>
        <v>Female</v>
      </c>
      <c r="H27" s="4">
        <v>45902</v>
      </c>
      <c r="I27" s="4">
        <v>45913</v>
      </c>
      <c r="J27" s="1" t="s">
        <v>19</v>
      </c>
      <c r="K27" s="26">
        <v>1</v>
      </c>
      <c r="L27" s="1" t="str">
        <f t="array" ref="L27">IFERROR(INDEX(Metadata!O:O, MATCH(C27,Metadata!A:A, 0)),"")</f>
        <v>D5</v>
      </c>
    </row>
    <row r="28" spans="1:14" ht="12.5" x14ac:dyDescent="0.25">
      <c r="A28" s="1" t="s">
        <v>85</v>
      </c>
      <c r="B28" s="1" t="s">
        <v>86</v>
      </c>
      <c r="C28" s="1" t="s">
        <v>87</v>
      </c>
      <c r="D28" s="1" t="s">
        <v>88</v>
      </c>
      <c r="E28" s="1" t="str">
        <f t="array" ref="E28">IFERROR(INDEX(Metadata!M:M, MATCH(C28,Metadata!A:A, 0)),"")</f>
        <v>NoCo</v>
      </c>
      <c r="F28" s="1" t="str">
        <f>IFERROR(INDEX(Metadata!N:N, MATCH(C28,Metadata!A:A, 0)),"")</f>
        <v>GP 1</v>
      </c>
      <c r="G28" s="1" t="str">
        <f>IFERROR(INDEX(Metadata!I:I, MATCH(C28,Metadata!A:A, 0)),"")</f>
        <v>Female</v>
      </c>
      <c r="H28" s="4">
        <v>45906</v>
      </c>
      <c r="I28" s="4">
        <v>45944</v>
      </c>
      <c r="J28" s="1" t="s">
        <v>19</v>
      </c>
      <c r="K28" s="26">
        <v>1</v>
      </c>
      <c r="L28" s="1" t="str">
        <f t="array" ref="L28">IFERROR(INDEX(Metadata!O:O, MATCH(C28,Metadata!A:A, 0)),"")</f>
        <v>D36</v>
      </c>
    </row>
    <row r="29" spans="1:14" ht="12.5" x14ac:dyDescent="0.25">
      <c r="A29" s="1" t="s">
        <v>121</v>
      </c>
      <c r="B29" s="1" t="s">
        <v>122</v>
      </c>
      <c r="C29" s="1" t="s">
        <v>123</v>
      </c>
      <c r="D29" s="1" t="s">
        <v>124</v>
      </c>
      <c r="E29" s="1" t="str">
        <f t="array" ref="E29">IFERROR(INDEX(Metadata!M:M, MATCH(C29,Metadata!A:A, 0)),"")</f>
        <v>Secondary</v>
      </c>
      <c r="F29" s="1" t="str">
        <f>IFERROR(INDEX(Metadata!N:N, MATCH(C29,Metadata!A:A, 0)),"")</f>
        <v>GP 2</v>
      </c>
      <c r="G29" s="1" t="str">
        <f>IFERROR(INDEX(Metadata!I:I, MATCH(C29,Metadata!A:A, 0)),"")</f>
        <v>Female</v>
      </c>
      <c r="H29" s="4">
        <v>45902</v>
      </c>
      <c r="I29" s="4">
        <v>45947</v>
      </c>
      <c r="J29" s="1" t="s">
        <v>52</v>
      </c>
      <c r="K29" s="26">
        <v>1</v>
      </c>
      <c r="L29" s="1" t="str">
        <f t="array" ref="L29">IFERROR(INDEX(Metadata!O:O, MATCH(C29,Metadata!A:A, 0)),"")</f>
        <v>D36</v>
      </c>
    </row>
    <row r="30" spans="1:14" ht="12.5" x14ac:dyDescent="0.25">
      <c r="A30" s="1" t="s">
        <v>187</v>
      </c>
      <c r="B30" s="1" t="s">
        <v>188</v>
      </c>
      <c r="C30" s="1" t="s">
        <v>189</v>
      </c>
      <c r="D30" s="1" t="s">
        <v>190</v>
      </c>
      <c r="E30" s="1" t="str">
        <f t="array" ref="E30">IFERROR(INDEX(Metadata!M:M, MATCH(C30,Metadata!A:A, 0)),"")</f>
        <v>Secondary</v>
      </c>
      <c r="F30" s="1" t="str">
        <f>IFERROR(INDEX(Metadata!N:N, MATCH(C30,Metadata!A:A, 0)),"")</f>
        <v>GP 2</v>
      </c>
      <c r="G30" s="1" t="str">
        <f>IFERROR(INDEX(Metadata!I:I, MATCH(C30,Metadata!A:A, 0)),"")</f>
        <v>Female</v>
      </c>
      <c r="H30" s="4">
        <v>45902</v>
      </c>
      <c r="I30" s="4">
        <v>45947</v>
      </c>
      <c r="J30" s="1" t="s">
        <v>19</v>
      </c>
      <c r="K30" s="26">
        <v>1</v>
      </c>
      <c r="L30" s="1" t="str">
        <f t="array" ref="L30">IFERROR(INDEX(Metadata!O:O, MATCH(C30,Metadata!A:A, 0)),"")</f>
        <v>D36</v>
      </c>
    </row>
    <row r="31" spans="1:14" ht="12.5" x14ac:dyDescent="0.25">
      <c r="A31" s="1" t="s">
        <v>129</v>
      </c>
      <c r="B31" s="1" t="s">
        <v>130</v>
      </c>
      <c r="C31" s="1" t="s">
        <v>131</v>
      </c>
      <c r="D31" s="1" t="s">
        <v>132</v>
      </c>
      <c r="E31" s="1" t="str">
        <f t="array" ref="E31">IFERROR(INDEX(Metadata!M:M, MATCH(C31,Metadata!A:A, 0)),"")</f>
        <v>SHAM</v>
      </c>
      <c r="F31" s="1" t="str">
        <f>IFERROR(INDEX(Metadata!N:N, MATCH(C31,Metadata!A:A, 0)),"")</f>
        <v>GP 2</v>
      </c>
      <c r="G31" s="1" t="str">
        <f>IFERROR(INDEX(Metadata!I:I, MATCH(C31,Metadata!A:A, 0)),"")</f>
        <v>Male</v>
      </c>
      <c r="H31" s="4">
        <v>45909</v>
      </c>
      <c r="I31" s="4">
        <v>45934</v>
      </c>
      <c r="J31" s="1" t="s">
        <v>19</v>
      </c>
      <c r="K31" s="26">
        <v>1</v>
      </c>
      <c r="L31" s="1" t="str">
        <f t="array" ref="L31">IFERROR(INDEX(Metadata!O:O, MATCH(C31,Metadata!A:A, 0)),"")</f>
        <v>D23</v>
      </c>
    </row>
    <row r="32" spans="1:14" ht="12.5" x14ac:dyDescent="0.25">
      <c r="A32" s="1" t="s">
        <v>133</v>
      </c>
      <c r="B32" s="1" t="s">
        <v>134</v>
      </c>
      <c r="C32" s="1" t="s">
        <v>135</v>
      </c>
      <c r="D32" s="1" t="s">
        <v>136</v>
      </c>
      <c r="E32" s="1" t="str">
        <f t="array" ref="E32">IFERROR(INDEX(Metadata!M:M, MATCH(C32,Metadata!A:A, 0)),"")</f>
        <v>SHAM</v>
      </c>
      <c r="F32" s="1" t="str">
        <f>IFERROR(INDEX(Metadata!N:N, MATCH(C32,Metadata!A:A, 0)),"")</f>
        <v>GP 1</v>
      </c>
      <c r="G32" s="1" t="str">
        <f>IFERROR(INDEX(Metadata!I:I, MATCH(C32,Metadata!A:A, 0)),"")</f>
        <v>Female</v>
      </c>
      <c r="H32" s="4">
        <v>45906</v>
      </c>
      <c r="I32" s="4">
        <v>45909</v>
      </c>
      <c r="J32" s="1" t="s">
        <v>19</v>
      </c>
      <c r="K32" s="26">
        <v>1</v>
      </c>
      <c r="L32" s="1" t="str">
        <f t="array" ref="L32">IFERROR(INDEX(Metadata!O:O, MATCH(C32,Metadata!A:A, 0)),"")</f>
        <v>D1</v>
      </c>
    </row>
    <row r="33" spans="1:14" ht="12.5" x14ac:dyDescent="0.25">
      <c r="A33" s="1" t="s">
        <v>137</v>
      </c>
      <c r="B33" s="1" t="s">
        <v>138</v>
      </c>
      <c r="C33" s="1" t="s">
        <v>139</v>
      </c>
      <c r="D33" s="1" t="s">
        <v>140</v>
      </c>
      <c r="E33" s="1" t="str">
        <f t="array" ref="E33">IFERROR(INDEX(Metadata!M:M, MATCH(C33,Metadata!A:A, 0)),"")</f>
        <v>Secondary</v>
      </c>
      <c r="F33" s="1" t="str">
        <f>IFERROR(INDEX(Metadata!N:N, MATCH(C33,Metadata!A:A, 0)),"")</f>
        <v>GP 1</v>
      </c>
      <c r="G33" s="1" t="str">
        <f>IFERROR(INDEX(Metadata!I:I, MATCH(C33,Metadata!A:A, 0)),"")</f>
        <v>Female</v>
      </c>
      <c r="H33" s="4">
        <v>45902</v>
      </c>
      <c r="I33" s="4">
        <v>45929</v>
      </c>
      <c r="J33" s="1" t="s">
        <v>19</v>
      </c>
      <c r="K33" s="26">
        <v>1</v>
      </c>
      <c r="L33" s="1" t="str">
        <f t="array" ref="L33">IFERROR(INDEX(Metadata!O:O, MATCH(C33,Metadata!A:A, 0)),"")</f>
        <v>D36</v>
      </c>
    </row>
    <row r="34" spans="1:14" ht="12.5" x14ac:dyDescent="0.25">
      <c r="A34" s="1" t="s">
        <v>207</v>
      </c>
      <c r="B34" s="1" t="s">
        <v>208</v>
      </c>
      <c r="C34" s="1" t="s">
        <v>148</v>
      </c>
      <c r="D34" s="1" t="s">
        <v>338</v>
      </c>
      <c r="E34" s="1" t="str">
        <f t="array" ref="E34">IFERROR(INDEX(Metadata!M:M, MATCH(C34,Metadata!A:A, 0)),"")</f>
        <v>SHAM</v>
      </c>
      <c r="F34" s="1" t="str">
        <f>IFERROR(INDEX(Metadata!N:N, MATCH(C34,Metadata!A:A, 0)),"")</f>
        <v>GP 2</v>
      </c>
      <c r="G34" s="1" t="str">
        <f>IFERROR(INDEX(Metadata!I:I, MATCH(C34,Metadata!A:A, 0)),"")</f>
        <v>Male</v>
      </c>
      <c r="H34" s="4">
        <v>45932</v>
      </c>
      <c r="I34" s="4">
        <v>45947</v>
      </c>
      <c r="J34" s="1" t="s">
        <v>19</v>
      </c>
      <c r="K34" s="26">
        <v>1</v>
      </c>
      <c r="L34" s="1" t="str">
        <f t="array" ref="L34">IFERROR(INDEX(Metadata!O:O, MATCH(C34,Metadata!A:A, 0)),"")</f>
        <v>D36</v>
      </c>
    </row>
    <row r="35" spans="1:14" ht="12.5" x14ac:dyDescent="0.25">
      <c r="A35" s="1" t="s">
        <v>146</v>
      </c>
      <c r="B35" s="1" t="s">
        <v>147</v>
      </c>
      <c r="C35" s="1" t="s">
        <v>148</v>
      </c>
      <c r="D35" s="1" t="s">
        <v>149</v>
      </c>
      <c r="E35" s="1" t="str">
        <f t="array" ref="E35">IFERROR(INDEX(Metadata!M:M, MATCH(C35,Metadata!A:A, 0)),"")</f>
        <v>SHAM</v>
      </c>
      <c r="F35" s="1" t="str">
        <f>IFERROR(INDEX(Metadata!N:N, MATCH(C35,Metadata!A:A, 0)),"")</f>
        <v>GP 2</v>
      </c>
      <c r="G35" s="1" t="str">
        <f>IFERROR(INDEX(Metadata!I:I, MATCH(C35,Metadata!A:A, 0)),"")</f>
        <v>Male</v>
      </c>
      <c r="H35" s="4">
        <v>45909</v>
      </c>
      <c r="I35" s="4">
        <v>45932</v>
      </c>
      <c r="J35" s="1" t="s">
        <v>19</v>
      </c>
      <c r="K35" s="26">
        <v>1</v>
      </c>
      <c r="L35" s="1" t="str">
        <f t="array" ref="L35">IFERROR(INDEX(Metadata!O:O, MATCH(C35,Metadata!A:A, 0)),"")</f>
        <v>D36</v>
      </c>
      <c r="M35" s="1" t="s">
        <v>57</v>
      </c>
    </row>
    <row r="36" spans="1:14" ht="12.5" x14ac:dyDescent="0.25">
      <c r="A36" s="1" t="s">
        <v>209</v>
      </c>
      <c r="B36" s="1" t="s">
        <v>210</v>
      </c>
      <c r="C36" s="1" t="s">
        <v>211</v>
      </c>
      <c r="D36" s="1" t="s">
        <v>212</v>
      </c>
      <c r="E36" s="1" t="str">
        <f t="array" ref="E36">IFERROR(INDEX(Metadata!M:M, MATCH(C36,Metadata!A:A, 0)),"")</f>
        <v>SHAM</v>
      </c>
      <c r="F36" s="1" t="str">
        <f>IFERROR(INDEX(Metadata!N:N, MATCH(C36,Metadata!A:A, 0)),"")</f>
        <v>GP 2</v>
      </c>
      <c r="G36" s="1" t="str">
        <f>IFERROR(INDEX(Metadata!I:I, MATCH(C36,Metadata!A:A, 0)),"")</f>
        <v>Female</v>
      </c>
      <c r="H36" s="4">
        <v>45909</v>
      </c>
      <c r="I36" s="4">
        <v>45947</v>
      </c>
      <c r="J36" s="1" t="s">
        <v>19</v>
      </c>
      <c r="K36" s="26">
        <v>1</v>
      </c>
      <c r="L36" s="1" t="str">
        <f t="array" ref="L36">IFERROR(INDEX(Metadata!O:O, MATCH(C36,Metadata!A:A, 0)),"")</f>
        <v>D36</v>
      </c>
    </row>
    <row r="37" spans="1:14" ht="12.5" x14ac:dyDescent="0.25">
      <c r="A37" s="1" t="s">
        <v>151</v>
      </c>
      <c r="B37" s="1" t="s">
        <v>152</v>
      </c>
      <c r="C37" s="1" t="s">
        <v>153</v>
      </c>
      <c r="D37" s="1" t="s">
        <v>154</v>
      </c>
      <c r="E37" s="1" t="str">
        <f t="array" ref="E37">IFERROR(INDEX(Metadata!M:M, MATCH(C37,Metadata!A:A, 0)),"")</f>
        <v>Secondary</v>
      </c>
      <c r="F37" s="1" t="str">
        <f>IFERROR(INDEX(Metadata!N:N, MATCH(C37,Metadata!A:A, 0)),"")</f>
        <v>GP 2</v>
      </c>
      <c r="G37" s="1" t="str">
        <f>IFERROR(INDEX(Metadata!I:I, MATCH(C37,Metadata!A:A, 0)),"")</f>
        <v>Female</v>
      </c>
      <c r="H37" s="4">
        <v>45902</v>
      </c>
      <c r="I37" s="4">
        <v>45932</v>
      </c>
      <c r="J37" s="5" t="s">
        <v>32</v>
      </c>
      <c r="K37" s="26">
        <v>1</v>
      </c>
      <c r="L37" s="1" t="str">
        <f t="array" ref="L37">IFERROR(INDEX(Metadata!O:O, MATCH(C37,Metadata!A:A, 0)),"")</f>
        <v>D36</v>
      </c>
    </row>
    <row r="38" spans="1:14" ht="12.5" x14ac:dyDescent="0.25">
      <c r="A38" s="1" t="s">
        <v>155</v>
      </c>
      <c r="B38" s="1" t="s">
        <v>156</v>
      </c>
      <c r="C38" s="1" t="s">
        <v>157</v>
      </c>
      <c r="D38" s="1" t="s">
        <v>158</v>
      </c>
      <c r="E38" s="1" t="str">
        <f t="array" ref="E38">IFERROR(INDEX(Metadata!M:M, MATCH(C38,Metadata!A:A, 0)),"")</f>
        <v>Dual</v>
      </c>
      <c r="F38" s="1" t="str">
        <f>IFERROR(INDEX(Metadata!N:N, MATCH(C38,Metadata!A:A, 0)),"")</f>
        <v>GP 1</v>
      </c>
      <c r="G38" s="1" t="str">
        <f>IFERROR(INDEX(Metadata!I:I, MATCH(C38,Metadata!A:A, 0)),"")</f>
        <v>Female</v>
      </c>
      <c r="H38" s="4">
        <v>45902</v>
      </c>
      <c r="I38" s="4">
        <v>45912</v>
      </c>
      <c r="J38" s="1" t="s">
        <v>19</v>
      </c>
      <c r="K38" s="26">
        <v>1</v>
      </c>
      <c r="L38" s="1" t="str">
        <f t="array" ref="L38">IFERROR(INDEX(Metadata!O:O, MATCH(C38,Metadata!A:A, 0)),"")</f>
        <v>D4</v>
      </c>
    </row>
    <row r="39" spans="1:14" ht="12.5" x14ac:dyDescent="0.25">
      <c r="A39" s="1" t="s">
        <v>159</v>
      </c>
      <c r="B39" s="1" t="s">
        <v>160</v>
      </c>
      <c r="C39" s="1" t="s">
        <v>161</v>
      </c>
      <c r="D39" s="1" t="s">
        <v>162</v>
      </c>
      <c r="E39" s="1" t="str">
        <f t="array" ref="E39">IFERROR(INDEX(Metadata!M:M, MATCH(C39,Metadata!A:A, 0)),"")</f>
        <v>Primary</v>
      </c>
      <c r="F39" s="1" t="str">
        <f>IFERROR(INDEX(Metadata!N:N, MATCH(C39,Metadata!A:A, 0)),"")</f>
        <v>GP 1</v>
      </c>
      <c r="G39" s="1" t="str">
        <f>IFERROR(INDEX(Metadata!I:I, MATCH(C39,Metadata!A:A, 0)),"")</f>
        <v>Female</v>
      </c>
      <c r="H39" s="4">
        <v>45902</v>
      </c>
      <c r="I39" s="4">
        <v>45944</v>
      </c>
      <c r="J39" s="1" t="s">
        <v>52</v>
      </c>
      <c r="K39" s="26">
        <v>1</v>
      </c>
      <c r="L39" s="1" t="str">
        <f t="array" ref="L39">IFERROR(INDEX(Metadata!O:O, MATCH(C39,Metadata!A:A, 0)),"")</f>
        <v>D36</v>
      </c>
    </row>
    <row r="40" spans="1:14" ht="12.5" x14ac:dyDescent="0.25">
      <c r="A40" s="1" t="s">
        <v>63</v>
      </c>
      <c r="B40" s="1" t="s">
        <v>163</v>
      </c>
      <c r="C40" s="1" t="s">
        <v>164</v>
      </c>
      <c r="D40" s="1" t="s">
        <v>165</v>
      </c>
      <c r="E40" s="1" t="str">
        <f t="array" ref="E40">IFERROR(INDEX(Metadata!M:M, MATCH(C40,Metadata!A:A, 0)),"")</f>
        <v>Secondary</v>
      </c>
      <c r="F40" s="1" t="str">
        <f>IFERROR(INDEX(Metadata!N:N, MATCH(C40,Metadata!A:A, 0)),"")</f>
        <v>GP 1</v>
      </c>
      <c r="G40" s="1" t="str">
        <f>IFERROR(INDEX(Metadata!I:I, MATCH(C40,Metadata!A:A, 0)),"")</f>
        <v>Male</v>
      </c>
      <c r="H40" s="4">
        <v>45902</v>
      </c>
      <c r="I40" s="4">
        <v>45913</v>
      </c>
      <c r="J40" s="1" t="s">
        <v>19</v>
      </c>
      <c r="K40" s="26">
        <v>1</v>
      </c>
      <c r="L40" s="1" t="str">
        <f t="array" ref="L40">IFERROR(INDEX(Metadata!O:O, MATCH(C40,Metadata!A:A, 0)),"")</f>
        <v>D5</v>
      </c>
    </row>
    <row r="41" spans="1:14" ht="12.5" x14ac:dyDescent="0.25">
      <c r="A41" s="1" t="s">
        <v>166</v>
      </c>
      <c r="B41" s="1" t="s">
        <v>167</v>
      </c>
      <c r="C41" s="1" t="s">
        <v>168</v>
      </c>
      <c r="D41" s="1" t="s">
        <v>169</v>
      </c>
      <c r="E41" s="1" t="str">
        <f t="array" ref="E41">IFERROR(INDEX(Metadata!M:M, MATCH(C41,Metadata!A:A, 0)),"")</f>
        <v>NoCo</v>
      </c>
      <c r="F41" s="1" t="str">
        <f>IFERROR(INDEX(Metadata!N:N, MATCH(C41,Metadata!A:A, 0)),"")</f>
        <v>GP 2</v>
      </c>
      <c r="G41" s="1" t="str">
        <f>IFERROR(INDEX(Metadata!I:I, MATCH(C41,Metadata!A:A, 0)),"")</f>
        <v>Female</v>
      </c>
      <c r="H41" s="4">
        <v>45909</v>
      </c>
      <c r="I41" s="4">
        <v>45947</v>
      </c>
      <c r="J41" s="1" t="s">
        <v>52</v>
      </c>
      <c r="K41" s="26">
        <v>1</v>
      </c>
      <c r="L41" s="1" t="str">
        <f t="array" ref="L41">IFERROR(INDEX(Metadata!O:O, MATCH(C41,Metadata!A:A, 0)),"")</f>
        <v>D36</v>
      </c>
    </row>
    <row r="42" spans="1:14" ht="12.5" x14ac:dyDescent="0.25">
      <c r="A42" s="1" t="s">
        <v>141</v>
      </c>
      <c r="B42" s="1" t="s">
        <v>142</v>
      </c>
      <c r="C42" s="1" t="s">
        <v>143</v>
      </c>
      <c r="D42" s="1" t="s">
        <v>144</v>
      </c>
      <c r="E42" s="1" t="str">
        <f t="array" ref="E42">IFERROR(INDEX(Metadata!M:M, MATCH(C42,Metadata!A:A, 0)),"")</f>
        <v>Primary</v>
      </c>
      <c r="F42" s="1" t="str">
        <f>IFERROR(INDEX(Metadata!N:N, MATCH(C42,Metadata!A:A, 0)),"")</f>
        <v>GP 2</v>
      </c>
      <c r="G42" s="1" t="str">
        <f>IFERROR(INDEX(Metadata!I:I, MATCH(C42,Metadata!A:A, 0)),"")</f>
        <v>Female</v>
      </c>
      <c r="H42" s="4">
        <v>45902</v>
      </c>
      <c r="I42" s="4">
        <v>45947</v>
      </c>
      <c r="J42" s="1" t="s">
        <v>19</v>
      </c>
      <c r="K42" s="26">
        <v>1</v>
      </c>
      <c r="L42" s="1" t="str">
        <f t="array" ref="L42">IFERROR(INDEX(Metadata!O:O, MATCH(C42,Metadata!A:A, 0)),"")</f>
        <v>D36</v>
      </c>
      <c r="N42" s="1" t="s">
        <v>145</v>
      </c>
    </row>
    <row r="43" spans="1:14" ht="12.5" x14ac:dyDescent="0.25">
      <c r="A43" s="1" t="s">
        <v>89</v>
      </c>
      <c r="B43" s="1" t="s">
        <v>174</v>
      </c>
      <c r="C43" s="1" t="s">
        <v>175</v>
      </c>
      <c r="D43" s="1" t="s">
        <v>176</v>
      </c>
      <c r="E43" s="1" t="str">
        <f t="array" ref="E43">IFERROR(INDEX(Metadata!M:M, MATCH(C43,Metadata!A:A, 0)),"")</f>
        <v>SHAM</v>
      </c>
      <c r="F43" s="1" t="str">
        <f>IFERROR(INDEX(Metadata!N:N, MATCH(C43,Metadata!A:A, 0)),"")</f>
        <v>GP 1</v>
      </c>
      <c r="G43" s="1" t="str">
        <f>IFERROR(INDEX(Metadata!I:I, MATCH(C43,Metadata!A:A, 0)),"")</f>
        <v>Female</v>
      </c>
      <c r="H43" s="4">
        <v>45906</v>
      </c>
      <c r="I43" s="4">
        <v>45913</v>
      </c>
      <c r="J43" s="1" t="s">
        <v>19</v>
      </c>
      <c r="K43" s="26">
        <v>1</v>
      </c>
      <c r="L43" s="1" t="str">
        <f t="array" ref="L43">IFERROR(INDEX(Metadata!O:O, MATCH(C43,Metadata!A:A, 0)),"")</f>
        <v>D5</v>
      </c>
    </row>
    <row r="44" spans="1:14" ht="12.5" x14ac:dyDescent="0.25">
      <c r="A44" s="1" t="s">
        <v>177</v>
      </c>
      <c r="B44" s="1" t="s">
        <v>178</v>
      </c>
      <c r="C44" s="1" t="s">
        <v>46</v>
      </c>
      <c r="D44" s="1" t="s">
        <v>47</v>
      </c>
      <c r="E44" s="1" t="str">
        <f t="array" ref="E44">IFERROR(INDEX(Metadata!M:M, MATCH(C44,Metadata!A:A, 0)),"")</f>
        <v>Dual</v>
      </c>
      <c r="F44" s="1" t="str">
        <f>IFERROR(INDEX(Metadata!N:N, MATCH(C44,Metadata!A:A, 0)),"")</f>
        <v>GP 2</v>
      </c>
      <c r="G44" s="1" t="str">
        <f>IFERROR(INDEX(Metadata!I:I, MATCH(C44,Metadata!A:A, 0)),"")</f>
        <v>Male</v>
      </c>
      <c r="H44" s="4">
        <v>45902</v>
      </c>
      <c r="I44" s="4">
        <v>45932</v>
      </c>
      <c r="J44" s="1" t="s">
        <v>52</v>
      </c>
      <c r="K44" s="26">
        <v>1</v>
      </c>
      <c r="L44" s="1" t="str">
        <f t="array" ref="L44">IFERROR(INDEX(Metadata!O:O, MATCH(C44,Metadata!A:A, 0)),"")</f>
        <v>D36</v>
      </c>
    </row>
    <row r="45" spans="1:14" ht="12.5" x14ac:dyDescent="0.25">
      <c r="A45" s="1" t="s">
        <v>179</v>
      </c>
      <c r="B45" s="1" t="s">
        <v>180</v>
      </c>
      <c r="C45" s="1" t="s">
        <v>65</v>
      </c>
      <c r="D45" s="1" t="s">
        <v>66</v>
      </c>
      <c r="E45" s="1" t="str">
        <f t="array" ref="E45">IFERROR(INDEX(Metadata!M:M, MATCH(C45,Metadata!A:A, 0)),"")</f>
        <v>Dual</v>
      </c>
      <c r="F45" s="1" t="str">
        <f>IFERROR(INDEX(Metadata!N:N, MATCH(C45,Metadata!A:A, 0)),"")</f>
        <v>GP 2</v>
      </c>
      <c r="G45" s="1" t="str">
        <f>IFERROR(INDEX(Metadata!I:I, MATCH(C45,Metadata!A:A, 0)),"")</f>
        <v>Female</v>
      </c>
      <c r="H45" s="4">
        <v>45902</v>
      </c>
      <c r="I45" s="4">
        <v>45932</v>
      </c>
      <c r="J45" s="1" t="s">
        <v>19</v>
      </c>
      <c r="K45" s="26">
        <v>1</v>
      </c>
      <c r="L45" s="1" t="str">
        <f t="array" ref="L45">IFERROR(INDEX(Metadata!O:O, MATCH(C45,Metadata!A:A, 0)),"")</f>
        <v>D36</v>
      </c>
    </row>
    <row r="46" spans="1:14" ht="12.5" x14ac:dyDescent="0.25">
      <c r="A46" s="1" t="s">
        <v>181</v>
      </c>
      <c r="B46" s="1" t="s">
        <v>182</v>
      </c>
      <c r="C46" s="1" t="s">
        <v>119</v>
      </c>
      <c r="D46" s="1" t="s">
        <v>120</v>
      </c>
      <c r="E46" s="1" t="str">
        <f t="array" ref="E46">IFERROR(INDEX(Metadata!M:M, MATCH(C46,Metadata!A:A, 0)),"")</f>
        <v>Primary</v>
      </c>
      <c r="F46" s="1" t="str">
        <f>IFERROR(INDEX(Metadata!N:N, MATCH(C46,Metadata!A:A, 0)),"")</f>
        <v>GP 2</v>
      </c>
      <c r="G46" s="1" t="str">
        <f>IFERROR(INDEX(Metadata!I:I, MATCH(C46,Metadata!A:A, 0)),"")</f>
        <v>Male</v>
      </c>
      <c r="H46" s="4">
        <v>45902</v>
      </c>
      <c r="I46" s="4">
        <v>45932</v>
      </c>
      <c r="J46" s="1" t="s">
        <v>19</v>
      </c>
      <c r="K46" s="26">
        <v>1</v>
      </c>
      <c r="L46" s="1" t="str">
        <f t="array" ref="L46">IFERROR(INDEX(Metadata!O:O, MATCH(C46,Metadata!A:A, 0)),"")</f>
        <v>D36</v>
      </c>
    </row>
    <row r="47" spans="1:14" ht="12.5" x14ac:dyDescent="0.25">
      <c r="A47" s="1" t="s">
        <v>183</v>
      </c>
      <c r="B47" s="1" t="s">
        <v>184</v>
      </c>
      <c r="C47" s="1" t="s">
        <v>185</v>
      </c>
      <c r="D47" s="1" t="s">
        <v>186</v>
      </c>
      <c r="E47" s="1" t="str">
        <f t="array" ref="E47">IFERROR(INDEX(Metadata!M:M, MATCH(C47,Metadata!A:A, 0)),"")</f>
        <v>Secondary</v>
      </c>
      <c r="F47" s="1" t="str">
        <f>IFERROR(INDEX(Metadata!N:N, MATCH(C47,Metadata!A:A, 0)),"")</f>
        <v>GP 2</v>
      </c>
      <c r="G47" s="1" t="str">
        <f>IFERROR(INDEX(Metadata!I:I, MATCH(C47,Metadata!A:A, 0)),"")</f>
        <v>Male</v>
      </c>
      <c r="H47" s="4">
        <v>45909</v>
      </c>
      <c r="I47" s="4">
        <v>45915</v>
      </c>
      <c r="J47" s="1" t="s">
        <v>19</v>
      </c>
      <c r="K47" s="26">
        <v>1</v>
      </c>
      <c r="L47" s="1" t="str">
        <f t="array" ref="L47">IFERROR(INDEX(Metadata!O:O, MATCH(C47,Metadata!A:A, 0)),"")</f>
        <v>D4</v>
      </c>
    </row>
    <row r="48" spans="1:14" ht="12.5" x14ac:dyDescent="0.25">
      <c r="A48" s="1" t="s">
        <v>53</v>
      </c>
      <c r="B48" s="1" t="s">
        <v>54</v>
      </c>
      <c r="C48" s="1" t="s">
        <v>55</v>
      </c>
      <c r="D48" s="1" t="s">
        <v>56</v>
      </c>
      <c r="E48" s="1" t="str">
        <f t="array" ref="E48">IFERROR(INDEX(Metadata!M:M, MATCH(C48,Metadata!A:A, 0)),"")</f>
        <v>Dual</v>
      </c>
      <c r="F48" s="1" t="str">
        <f>IFERROR(INDEX(Metadata!N:N, MATCH(C48,Metadata!A:A, 0)),"")</f>
        <v>GP 1</v>
      </c>
      <c r="G48" s="1" t="str">
        <f>IFERROR(INDEX(Metadata!I:I, MATCH(C48,Metadata!A:A, 0)),"")</f>
        <v>Female</v>
      </c>
      <c r="H48" s="4">
        <v>45902</v>
      </c>
      <c r="I48" s="4">
        <v>45944</v>
      </c>
      <c r="J48" s="1" t="s">
        <v>19</v>
      </c>
      <c r="K48" s="26">
        <v>1</v>
      </c>
      <c r="L48" s="1" t="str">
        <f t="array" ref="L48">IFERROR(INDEX(Metadata!O:O, MATCH(C48,Metadata!A:A, 0)),"")</f>
        <v>D36</v>
      </c>
      <c r="M48" s="1" t="s">
        <v>57</v>
      </c>
    </row>
    <row r="49" spans="1:14" ht="12.5" x14ac:dyDescent="0.25">
      <c r="A49" s="1" t="s">
        <v>89</v>
      </c>
      <c r="B49" s="1" t="s">
        <v>90</v>
      </c>
      <c r="C49" s="1" t="s">
        <v>78</v>
      </c>
      <c r="D49" s="1" t="s">
        <v>332</v>
      </c>
      <c r="E49" s="1" t="str">
        <f t="array" ref="E49">IFERROR(INDEX(Metadata!M:M, MATCH(C49,Metadata!A:A, 0)),"")</f>
        <v>NoCo</v>
      </c>
      <c r="F49" s="1" t="str">
        <f>IFERROR(INDEX(Metadata!N:N, MATCH(C49,Metadata!A:A, 0)),"")</f>
        <v>GP 1</v>
      </c>
      <c r="G49" s="1" t="str">
        <f>IFERROR(INDEX(Metadata!I:I, MATCH(C49,Metadata!A:A, 0)),"")</f>
        <v>Male</v>
      </c>
      <c r="H49" s="4">
        <v>45929</v>
      </c>
      <c r="I49" s="4">
        <v>45944</v>
      </c>
      <c r="J49" s="1" t="s">
        <v>19</v>
      </c>
      <c r="K49" s="26">
        <v>2</v>
      </c>
      <c r="L49" s="1" t="str">
        <f t="array" ref="L49">IFERROR(INDEX(Metadata!O:O, MATCH(C49,Metadata!A:A, 0)),"")</f>
        <v>D36</v>
      </c>
      <c r="N49" s="1" t="s">
        <v>91</v>
      </c>
    </row>
    <row r="50" spans="1:14" ht="12.5" x14ac:dyDescent="0.25">
      <c r="A50" s="1" t="s">
        <v>155</v>
      </c>
      <c r="B50" s="1" t="s">
        <v>191</v>
      </c>
      <c r="C50" s="1" t="s">
        <v>153</v>
      </c>
      <c r="D50" s="1" t="s">
        <v>336</v>
      </c>
      <c r="E50" s="1" t="str">
        <f t="array" ref="E50">IFERROR(INDEX(Metadata!M:M, MATCH(C50,Metadata!A:A, 0)),"")</f>
        <v>Secondary</v>
      </c>
      <c r="F50" s="1" t="str">
        <f>IFERROR(INDEX(Metadata!N:N, MATCH(C50,Metadata!A:A, 0)),"")</f>
        <v>GP 2</v>
      </c>
      <c r="G50" s="1" t="str">
        <f>IFERROR(INDEX(Metadata!I:I, MATCH(C50,Metadata!A:A, 0)),"")</f>
        <v>Female</v>
      </c>
      <c r="H50" s="4">
        <v>45932</v>
      </c>
      <c r="I50" s="4">
        <v>45947</v>
      </c>
      <c r="J50" s="1" t="s">
        <v>19</v>
      </c>
      <c r="K50" s="26">
        <v>2</v>
      </c>
      <c r="L50" s="1" t="str">
        <f t="array" ref="L50">IFERROR(INDEX(Metadata!O:O, MATCH(C50,Metadata!A:A, 0)),"")</f>
        <v>D36</v>
      </c>
    </row>
    <row r="51" spans="1:14" ht="12.5" x14ac:dyDescent="0.25">
      <c r="A51" s="1" t="s">
        <v>40</v>
      </c>
      <c r="B51" s="1" t="s">
        <v>62</v>
      </c>
      <c r="C51" s="1" t="s">
        <v>34</v>
      </c>
      <c r="D51" s="1" t="s">
        <v>330</v>
      </c>
      <c r="E51" s="1" t="str">
        <f t="array" ref="E51">IFERROR(INDEX(Metadata!M:M, MATCH(C51,Metadata!A:A, 0)),"")</f>
        <v>Dual</v>
      </c>
      <c r="F51" s="1" t="str">
        <f>IFERROR(INDEX(Metadata!N:N, MATCH(C51,Metadata!A:A, 0)),"")</f>
        <v>GP 1</v>
      </c>
      <c r="G51" s="1" t="str">
        <f>IFERROR(INDEX(Metadata!I:I, MATCH(C51,Metadata!A:A, 0)),"")</f>
        <v>Female</v>
      </c>
      <c r="H51" s="4">
        <v>45929</v>
      </c>
      <c r="I51" s="4">
        <v>45944</v>
      </c>
      <c r="J51" s="1" t="s">
        <v>19</v>
      </c>
      <c r="K51" s="26">
        <v>2</v>
      </c>
      <c r="L51" s="1" t="str">
        <f t="array" ref="L51">IFERROR(INDEX(Metadata!O:O, MATCH(C51,Metadata!A:A, 0)),"")</f>
        <v>D36</v>
      </c>
    </row>
    <row r="52" spans="1:14" ht="12.5" x14ac:dyDescent="0.25">
      <c r="A52" s="1" t="s">
        <v>76</v>
      </c>
      <c r="B52" s="1" t="s">
        <v>96</v>
      </c>
      <c r="C52" s="1" t="s">
        <v>94</v>
      </c>
      <c r="D52" s="1" t="s">
        <v>333</v>
      </c>
      <c r="E52" s="1" t="str">
        <f t="array" ref="E52">IFERROR(INDEX(Metadata!M:M, MATCH(C52,Metadata!A:A, 0)),"")</f>
        <v>NoCo</v>
      </c>
      <c r="F52" s="1" t="str">
        <f>IFERROR(INDEX(Metadata!N:N, MATCH(C52,Metadata!A:A, 0)),"")</f>
        <v>GP 2</v>
      </c>
      <c r="G52" s="1" t="str">
        <f>IFERROR(INDEX(Metadata!I:I, MATCH(C52,Metadata!A:A, 0)),"")</f>
        <v>Male</v>
      </c>
      <c r="H52" s="4">
        <v>45932</v>
      </c>
      <c r="I52" s="4">
        <v>45947</v>
      </c>
      <c r="J52" s="1" t="s">
        <v>19</v>
      </c>
      <c r="K52" s="26">
        <v>2</v>
      </c>
      <c r="L52" s="1" t="str">
        <f t="array" ref="L52">IFERROR(INDEX(Metadata!O:O, MATCH(C52,Metadata!A:A, 0)),"")</f>
        <v>D36</v>
      </c>
    </row>
    <row r="53" spans="1:14" ht="12.5" x14ac:dyDescent="0.25">
      <c r="A53" s="1" t="s">
        <v>63</v>
      </c>
      <c r="B53" s="1" t="s">
        <v>64</v>
      </c>
      <c r="C53" s="1" t="s">
        <v>65</v>
      </c>
      <c r="D53" s="1" t="s">
        <v>331</v>
      </c>
      <c r="E53" s="1" t="str">
        <f t="array" ref="E53">IFERROR(INDEX(Metadata!M:M, MATCH(C53,Metadata!A:A, 0)),"")</f>
        <v>Dual</v>
      </c>
      <c r="F53" s="1" t="str">
        <f>IFERROR(INDEX(Metadata!N:N, MATCH(C53,Metadata!A:A, 0)),"")</f>
        <v>GP 2</v>
      </c>
      <c r="G53" s="1" t="str">
        <f>IFERROR(INDEX(Metadata!I:I, MATCH(C53,Metadata!A:A, 0)),"")</f>
        <v>Female</v>
      </c>
      <c r="H53" s="4">
        <v>45932</v>
      </c>
      <c r="I53" s="4">
        <v>45947</v>
      </c>
      <c r="J53" s="1" t="s">
        <v>19</v>
      </c>
      <c r="K53" s="26">
        <v>2</v>
      </c>
      <c r="L53" s="1" t="str">
        <f t="array" ref="L53">IFERROR(INDEX(Metadata!O:O, MATCH(C53,Metadata!A:A, 0)),"")</f>
        <v>D36</v>
      </c>
      <c r="N53" s="1" t="s">
        <v>67</v>
      </c>
    </row>
    <row r="54" spans="1:14" ht="12.5" x14ac:dyDescent="0.25">
      <c r="A54" s="1" t="s">
        <v>15</v>
      </c>
      <c r="B54" s="1" t="s">
        <v>214</v>
      </c>
      <c r="C54" s="1" t="s">
        <v>30</v>
      </c>
      <c r="D54" s="1" t="s">
        <v>339</v>
      </c>
      <c r="E54" s="1" t="str">
        <f t="array" ref="E54">IFERROR(INDEX(Metadata!M:M, MATCH(C54,Metadata!A:A, 0)),"")</f>
        <v>SHAM</v>
      </c>
      <c r="F54" s="1" t="str">
        <f>IFERROR(INDEX(Metadata!N:N, MATCH(C54,Metadata!A:A, 0)),"")</f>
        <v>GP 1</v>
      </c>
      <c r="G54" s="1" t="str">
        <f>IFERROR(INDEX(Metadata!I:I, MATCH(C54,Metadata!A:A, 0)),"")</f>
        <v>Male</v>
      </c>
      <c r="H54" s="4">
        <v>45929</v>
      </c>
      <c r="I54" s="4">
        <v>45944</v>
      </c>
      <c r="J54" s="1" t="s">
        <v>19</v>
      </c>
      <c r="K54" s="26">
        <v>2</v>
      </c>
      <c r="L54" s="1" t="str">
        <f t="array" ref="L54">IFERROR(INDEX(Metadata!O:O, MATCH(C54,Metadata!A:A, 0)),"")</f>
        <v>D36</v>
      </c>
    </row>
    <row r="55" spans="1:14" ht="12.5" x14ac:dyDescent="0.25">
      <c r="A55" s="1" t="s">
        <v>113</v>
      </c>
      <c r="B55" s="1" t="s">
        <v>192</v>
      </c>
      <c r="C55" s="1" t="s">
        <v>139</v>
      </c>
      <c r="D55" s="1" t="s">
        <v>337</v>
      </c>
      <c r="E55" s="1" t="str">
        <f t="array" ref="E55">IFERROR(INDEX(Metadata!M:M, MATCH(C55,Metadata!A:A, 0)),"")</f>
        <v>Secondary</v>
      </c>
      <c r="F55" s="1" t="str">
        <f>IFERROR(INDEX(Metadata!N:N, MATCH(C55,Metadata!A:A, 0)),"")</f>
        <v>GP 1</v>
      </c>
      <c r="G55" s="1" t="str">
        <f>IFERROR(INDEX(Metadata!I:I, MATCH(C55,Metadata!A:A, 0)),"")</f>
        <v>Female</v>
      </c>
      <c r="H55" s="4">
        <v>45929</v>
      </c>
      <c r="I55" s="4">
        <v>45944</v>
      </c>
      <c r="J55" s="1" t="s">
        <v>19</v>
      </c>
      <c r="K55" s="26">
        <v>2</v>
      </c>
      <c r="L55" s="1" t="str">
        <f t="array" ref="L55">IFERROR(INDEX(Metadata!O:O, MATCH(C55,Metadata!A:A, 0)),"")</f>
        <v>D36</v>
      </c>
    </row>
    <row r="56" spans="1:14" ht="12.5" x14ac:dyDescent="0.25">
      <c r="A56" s="1" t="s">
        <v>183</v>
      </c>
      <c r="B56" s="1" t="s">
        <v>213</v>
      </c>
      <c r="C56" s="1" t="s">
        <v>60</v>
      </c>
      <c r="D56" s="1" t="s">
        <v>60</v>
      </c>
      <c r="E56" s="1" t="s">
        <v>60</v>
      </c>
      <c r="F56" s="1" t="str">
        <f>IFERROR(INDEX(Metadata!N:N, MATCH(C56,Metadata!A:A, 0)),"")</f>
        <v/>
      </c>
      <c r="G56" s="1" t="str">
        <f>IFERROR(INDEX(Metadata!I:I, MATCH(C56,Metadata!A:A, 0)),"")</f>
        <v/>
      </c>
      <c r="H56" s="1" t="s">
        <v>60</v>
      </c>
      <c r="I56" s="1" t="s">
        <v>60</v>
      </c>
      <c r="J56" s="1" t="s">
        <v>60</v>
      </c>
      <c r="K56" s="26">
        <v>2</v>
      </c>
      <c r="L56" s="1" t="s">
        <v>60</v>
      </c>
    </row>
    <row r="57" spans="1:14" ht="12.5" x14ac:dyDescent="0.25">
      <c r="A57" s="1" t="s">
        <v>137</v>
      </c>
      <c r="B57" s="1" t="s">
        <v>150</v>
      </c>
      <c r="C57" s="1" t="s">
        <v>107</v>
      </c>
      <c r="D57" s="1" t="s">
        <v>335</v>
      </c>
      <c r="E57" s="1" t="str">
        <f t="array" ref="E57">IFERROR(INDEX(Metadata!M:M, MATCH(C57,Metadata!A:A, 0)),"")</f>
        <v>Primary</v>
      </c>
      <c r="F57" s="1" t="str">
        <f>IFERROR(INDEX(Metadata!N:N, MATCH(C57,Metadata!A:A, 0)),"")</f>
        <v>GP 2</v>
      </c>
      <c r="G57" s="1" t="str">
        <f>IFERROR(INDEX(Metadata!I:I, MATCH(C57,Metadata!A:A, 0)),"")</f>
        <v>Female</v>
      </c>
      <c r="H57" s="4">
        <v>45932</v>
      </c>
      <c r="I57" s="4">
        <v>45947</v>
      </c>
      <c r="J57" s="1" t="s">
        <v>19</v>
      </c>
      <c r="K57" s="26">
        <v>2</v>
      </c>
      <c r="L57" s="1" t="str">
        <f t="array" ref="L57">IFERROR(INDEX(Metadata!O:O, MATCH(C57,Metadata!A:A, 0)),"")</f>
        <v>D36</v>
      </c>
    </row>
    <row r="58" spans="1:14" ht="12.5" x14ac:dyDescent="0.25">
      <c r="A58" s="1" t="s">
        <v>72</v>
      </c>
      <c r="B58" s="1" t="s">
        <v>215</v>
      </c>
      <c r="C58" s="1" t="s">
        <v>60</v>
      </c>
      <c r="D58" s="1" t="s">
        <v>60</v>
      </c>
      <c r="E58" s="1" t="s">
        <v>60</v>
      </c>
      <c r="F58" s="1" t="str">
        <f>IFERROR(INDEX(Metadata!N:N, MATCH(C58,Metadata!A:A, 0)),"")</f>
        <v/>
      </c>
      <c r="G58" s="1" t="str">
        <f>IFERROR(INDEX(Metadata!I:I, MATCH(C58,Metadata!A:A, 0)),"")</f>
        <v/>
      </c>
      <c r="H58" s="1" t="s">
        <v>60</v>
      </c>
      <c r="J58" s="1" t="s">
        <v>60</v>
      </c>
      <c r="K58" s="26">
        <v>2</v>
      </c>
      <c r="L58" s="1" t="s">
        <v>60</v>
      </c>
    </row>
    <row r="59" spans="1:14" ht="12.5" x14ac:dyDescent="0.25">
      <c r="A59" s="1" t="s">
        <v>14</v>
      </c>
    </row>
  </sheetData>
  <autoFilter ref="A1:AG1000" xr:uid="{00000000-0009-0000-0000-000001000000}">
    <sortState xmlns:xlrd2="http://schemas.microsoft.com/office/spreadsheetml/2017/richdata2" ref="A2:AG1000">
      <sortCondition ref="B1:B100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7"/>
  <sheetViews>
    <sheetView showGridLines="0" workbookViewId="0"/>
  </sheetViews>
  <sheetFormatPr defaultColWidth="12.6328125" defaultRowHeight="15.75" customHeight="1" x14ac:dyDescent="0.25"/>
  <sheetData>
    <row r="1" spans="1:3" ht="15.75" customHeight="1" x14ac:dyDescent="0.25">
      <c r="A1" s="21" t="s">
        <v>10</v>
      </c>
      <c r="B1" s="20" t="s">
        <v>328</v>
      </c>
    </row>
    <row r="2" spans="1:3" ht="15.75" customHeight="1" x14ac:dyDescent="0.25">
      <c r="A2" s="21" t="s">
        <v>11</v>
      </c>
      <c r="B2" s="20" t="s">
        <v>292</v>
      </c>
    </row>
    <row r="4" spans="1:3" ht="15.75" customHeight="1" x14ac:dyDescent="0.25">
      <c r="A4" s="14" t="s">
        <v>216</v>
      </c>
      <c r="B4" s="14" t="s">
        <v>8</v>
      </c>
      <c r="C4" s="15"/>
    </row>
    <row r="5" spans="1:3" ht="15.75" customHeight="1" x14ac:dyDescent="0.25">
      <c r="A5" s="14" t="s">
        <v>5</v>
      </c>
      <c r="B5" s="16">
        <v>45906</v>
      </c>
      <c r="C5" s="17" t="s">
        <v>217</v>
      </c>
    </row>
    <row r="6" spans="1:3" ht="15.75" customHeight="1" x14ac:dyDescent="0.25">
      <c r="A6" s="18" t="s">
        <v>243</v>
      </c>
      <c r="B6" s="22">
        <v>1</v>
      </c>
      <c r="C6" s="23">
        <v>1</v>
      </c>
    </row>
    <row r="7" spans="1:3" ht="15.75" customHeight="1" x14ac:dyDescent="0.25">
      <c r="A7" s="19" t="s">
        <v>217</v>
      </c>
      <c r="B7" s="24">
        <v>1</v>
      </c>
      <c r="C7" s="2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pane xSplit="1" ySplit="1" topLeftCell="B2" activePane="bottomRight" state="frozen"/>
      <selection pane="topRight" activeCell="B1" sqref="B1"/>
      <selection pane="bottomLeft" activeCell="A2" sqref="A2"/>
      <selection pane="bottomRight" activeCell="N9" sqref="N9"/>
    </sheetView>
  </sheetViews>
  <sheetFormatPr defaultColWidth="12.6328125" defaultRowHeight="15.75" customHeight="1" x14ac:dyDescent="0.25"/>
  <sheetData>
    <row r="1" spans="1:29" ht="13" x14ac:dyDescent="0.3">
      <c r="A1" s="6" t="s">
        <v>218</v>
      </c>
      <c r="B1" s="6" t="s">
        <v>219</v>
      </c>
      <c r="C1" s="6" t="s">
        <v>220</v>
      </c>
      <c r="D1" s="6" t="s">
        <v>221</v>
      </c>
      <c r="E1" s="6" t="s">
        <v>222</v>
      </c>
      <c r="F1" s="6" t="s">
        <v>223</v>
      </c>
      <c r="G1" s="6" t="s">
        <v>224</v>
      </c>
      <c r="H1" s="6" t="s">
        <v>225</v>
      </c>
      <c r="I1" s="6" t="s">
        <v>7</v>
      </c>
      <c r="J1" s="6" t="s">
        <v>226</v>
      </c>
      <c r="K1" s="6" t="s">
        <v>227</v>
      </c>
      <c r="L1" s="6" t="s">
        <v>228</v>
      </c>
      <c r="M1" s="6" t="s">
        <v>229</v>
      </c>
      <c r="N1" s="6" t="s">
        <v>6</v>
      </c>
      <c r="O1" s="6" t="s">
        <v>230</v>
      </c>
      <c r="P1" s="6" t="s">
        <v>13</v>
      </c>
      <c r="Q1" s="6"/>
      <c r="R1" s="7"/>
      <c r="S1" s="7"/>
      <c r="T1" s="7"/>
      <c r="U1" s="7"/>
      <c r="V1" s="7"/>
      <c r="W1" s="7"/>
      <c r="X1" s="7"/>
      <c r="Y1" s="7"/>
      <c r="Z1" s="7"/>
      <c r="AA1" s="7"/>
      <c r="AB1" s="7"/>
      <c r="AC1" s="7"/>
    </row>
    <row r="2" spans="1:29" ht="15.5" x14ac:dyDescent="0.35">
      <c r="A2" s="7" t="s">
        <v>111</v>
      </c>
      <c r="B2" s="7" t="s">
        <v>112</v>
      </c>
      <c r="C2" s="8">
        <v>45873</v>
      </c>
      <c r="D2" s="7" t="s">
        <v>231</v>
      </c>
      <c r="E2" s="9">
        <v>41.77</v>
      </c>
      <c r="F2" s="9">
        <v>10.8</v>
      </c>
      <c r="G2" s="9">
        <v>12.5</v>
      </c>
      <c r="H2" s="9">
        <v>0.29925784059999999</v>
      </c>
      <c r="I2" s="7" t="s">
        <v>232</v>
      </c>
      <c r="J2" s="7"/>
      <c r="K2" s="7" t="s">
        <v>233</v>
      </c>
      <c r="L2" s="10" t="s">
        <v>234</v>
      </c>
      <c r="M2" s="10" t="s">
        <v>235</v>
      </c>
      <c r="N2" s="7" t="s">
        <v>236</v>
      </c>
      <c r="O2" s="7" t="s">
        <v>237</v>
      </c>
      <c r="P2" s="7"/>
      <c r="Q2" s="7" t="s">
        <v>238</v>
      </c>
      <c r="R2" s="7"/>
      <c r="S2" s="7"/>
      <c r="T2" s="7"/>
      <c r="U2" s="7"/>
      <c r="V2" s="7"/>
      <c r="W2" s="7"/>
      <c r="X2" s="7"/>
      <c r="Y2" s="7"/>
      <c r="Z2" s="7"/>
      <c r="AA2" s="7"/>
      <c r="AB2" s="7"/>
      <c r="AC2" s="7"/>
    </row>
    <row r="3" spans="1:29" ht="15.5" x14ac:dyDescent="0.35">
      <c r="A3" s="7" t="s">
        <v>99</v>
      </c>
      <c r="B3" s="7" t="s">
        <v>100</v>
      </c>
      <c r="C3" s="8">
        <v>45873</v>
      </c>
      <c r="D3" s="7" t="s">
        <v>231</v>
      </c>
      <c r="E3" s="9">
        <v>42.72</v>
      </c>
      <c r="F3" s="9">
        <v>11.5</v>
      </c>
      <c r="G3" s="9">
        <v>22.7</v>
      </c>
      <c r="H3" s="9">
        <v>0.5313670412</v>
      </c>
      <c r="I3" s="7" t="s">
        <v>232</v>
      </c>
      <c r="J3" s="7"/>
      <c r="K3" s="7" t="s">
        <v>233</v>
      </c>
      <c r="L3" s="10" t="s">
        <v>239</v>
      </c>
      <c r="M3" s="10" t="s">
        <v>240</v>
      </c>
      <c r="N3" s="7" t="s">
        <v>236</v>
      </c>
      <c r="O3" s="7" t="s">
        <v>241</v>
      </c>
      <c r="P3" s="7"/>
      <c r="Q3" s="7"/>
      <c r="R3" s="7"/>
      <c r="S3" s="7"/>
      <c r="T3" s="7"/>
      <c r="U3" s="7"/>
      <c r="V3" s="7"/>
      <c r="W3" s="7"/>
      <c r="X3" s="7"/>
      <c r="Y3" s="7"/>
      <c r="Z3" s="7"/>
      <c r="AA3" s="7"/>
      <c r="AB3" s="7"/>
      <c r="AC3" s="7"/>
    </row>
    <row r="4" spans="1:29" ht="15.5" x14ac:dyDescent="0.35">
      <c r="A4" s="7" t="s">
        <v>94</v>
      </c>
      <c r="B4" s="7" t="s">
        <v>95</v>
      </c>
      <c r="C4" s="8">
        <v>45873</v>
      </c>
      <c r="D4" s="7" t="s">
        <v>231</v>
      </c>
      <c r="E4" s="9">
        <v>45.12</v>
      </c>
      <c r="F4" s="9">
        <v>11.8</v>
      </c>
      <c r="G4" s="9">
        <v>21.5</v>
      </c>
      <c r="H4" s="9">
        <v>0.47650709219999998</v>
      </c>
      <c r="I4" s="7" t="s">
        <v>232</v>
      </c>
      <c r="J4" s="7"/>
      <c r="K4" s="7" t="s">
        <v>233</v>
      </c>
      <c r="L4" s="10" t="s">
        <v>242</v>
      </c>
      <c r="M4" s="10" t="s">
        <v>243</v>
      </c>
      <c r="N4" s="7" t="s">
        <v>236</v>
      </c>
      <c r="O4" s="7" t="s">
        <v>241</v>
      </c>
      <c r="P4" s="7"/>
      <c r="Q4" s="7"/>
      <c r="R4" s="7"/>
      <c r="S4" s="7"/>
      <c r="T4" s="7"/>
      <c r="U4" s="7"/>
      <c r="V4" s="7"/>
      <c r="W4" s="7"/>
      <c r="X4" s="7"/>
      <c r="Y4" s="7"/>
      <c r="Z4" s="7"/>
      <c r="AA4" s="7"/>
      <c r="AB4" s="7"/>
      <c r="AC4" s="7"/>
    </row>
    <row r="5" spans="1:29" ht="15.5" x14ac:dyDescent="0.35">
      <c r="A5" s="7" t="s">
        <v>30</v>
      </c>
      <c r="B5" s="7" t="s">
        <v>31</v>
      </c>
      <c r="C5" s="8">
        <v>45873</v>
      </c>
      <c r="D5" s="7" t="s">
        <v>231</v>
      </c>
      <c r="E5" s="9">
        <v>42.81</v>
      </c>
      <c r="F5" s="9">
        <v>13.3</v>
      </c>
      <c r="G5" s="9">
        <v>23.8</v>
      </c>
      <c r="H5" s="9">
        <v>0.55594487270000004</v>
      </c>
      <c r="I5" s="7" t="s">
        <v>232</v>
      </c>
      <c r="J5" s="7"/>
      <c r="K5" s="7" t="s">
        <v>233</v>
      </c>
      <c r="L5" s="10" t="s">
        <v>244</v>
      </c>
      <c r="M5" s="7" t="s">
        <v>245</v>
      </c>
      <c r="N5" s="7" t="s">
        <v>246</v>
      </c>
      <c r="O5" s="7" t="s">
        <v>241</v>
      </c>
      <c r="P5" s="7"/>
      <c r="Q5" s="7"/>
      <c r="R5" s="7"/>
      <c r="S5" s="7"/>
      <c r="T5" s="7"/>
      <c r="U5" s="7"/>
      <c r="V5" s="7"/>
      <c r="W5" s="7"/>
      <c r="X5" s="7"/>
      <c r="Y5" s="7"/>
      <c r="Z5" s="7"/>
      <c r="AA5" s="7"/>
      <c r="AB5" s="7"/>
      <c r="AC5" s="7"/>
    </row>
    <row r="6" spans="1:29" ht="15.5" x14ac:dyDescent="0.35">
      <c r="A6" s="7" t="s">
        <v>201</v>
      </c>
      <c r="B6" s="7" t="s">
        <v>202</v>
      </c>
      <c r="C6" s="11">
        <v>45875</v>
      </c>
      <c r="D6" s="7" t="s">
        <v>247</v>
      </c>
      <c r="E6" s="9">
        <v>45.16</v>
      </c>
      <c r="F6" s="9">
        <v>14.6</v>
      </c>
      <c r="G6" s="9">
        <v>26.5</v>
      </c>
      <c r="H6" s="9">
        <v>0.58680248010000002</v>
      </c>
      <c r="I6" s="7" t="s">
        <v>248</v>
      </c>
      <c r="J6" s="7"/>
      <c r="K6" s="7" t="s">
        <v>233</v>
      </c>
      <c r="L6" s="10" t="s">
        <v>249</v>
      </c>
      <c r="M6" s="7" t="s">
        <v>245</v>
      </c>
      <c r="N6" s="7" t="s">
        <v>236</v>
      </c>
      <c r="O6" s="7" t="s">
        <v>241</v>
      </c>
      <c r="P6" s="7"/>
      <c r="Q6" s="7"/>
      <c r="R6" s="7"/>
      <c r="S6" s="7"/>
      <c r="T6" s="7"/>
      <c r="U6" s="7"/>
      <c r="V6" s="7"/>
      <c r="W6" s="7"/>
      <c r="X6" s="7"/>
      <c r="Y6" s="7"/>
      <c r="Z6" s="7"/>
      <c r="AA6" s="7"/>
      <c r="AB6" s="7"/>
      <c r="AC6" s="7"/>
    </row>
    <row r="7" spans="1:29" ht="15.5" x14ac:dyDescent="0.35">
      <c r="A7" s="7" t="s">
        <v>211</v>
      </c>
      <c r="B7" s="7" t="s">
        <v>212</v>
      </c>
      <c r="C7" s="11">
        <v>45875</v>
      </c>
      <c r="D7" s="7" t="s">
        <v>247</v>
      </c>
      <c r="E7" s="9">
        <v>46.38</v>
      </c>
      <c r="F7" s="9">
        <v>13.3</v>
      </c>
      <c r="G7" s="9">
        <v>24.8</v>
      </c>
      <c r="H7" s="9">
        <v>0.53471323849999997</v>
      </c>
      <c r="I7" s="7" t="s">
        <v>248</v>
      </c>
      <c r="J7" s="7"/>
      <c r="K7" s="7" t="s">
        <v>233</v>
      </c>
      <c r="L7" s="10" t="s">
        <v>250</v>
      </c>
      <c r="M7" s="10" t="s">
        <v>245</v>
      </c>
      <c r="N7" s="7" t="s">
        <v>236</v>
      </c>
      <c r="O7" s="7" t="s">
        <v>241</v>
      </c>
      <c r="P7" s="7"/>
      <c r="Q7" s="7"/>
      <c r="R7" s="7"/>
      <c r="S7" s="7"/>
      <c r="T7" s="7"/>
      <c r="U7" s="7"/>
      <c r="V7" s="7"/>
      <c r="W7" s="7"/>
      <c r="X7" s="7"/>
      <c r="Y7" s="7"/>
      <c r="Z7" s="7"/>
      <c r="AA7" s="7"/>
      <c r="AB7" s="7"/>
      <c r="AC7" s="7"/>
    </row>
    <row r="8" spans="1:29" ht="15.5" x14ac:dyDescent="0.35">
      <c r="A8" s="7" t="s">
        <v>127</v>
      </c>
      <c r="B8" s="7" t="s">
        <v>128</v>
      </c>
      <c r="C8" s="11">
        <v>45875</v>
      </c>
      <c r="D8" s="7" t="s">
        <v>247</v>
      </c>
      <c r="E8" s="9">
        <v>45.11</v>
      </c>
      <c r="F8" s="9">
        <v>12.8</v>
      </c>
      <c r="G8" s="9">
        <v>24.6</v>
      </c>
      <c r="H8" s="9">
        <v>0.54533362890000003</v>
      </c>
      <c r="I8" s="7" t="s">
        <v>232</v>
      </c>
      <c r="J8" s="7"/>
      <c r="K8" s="7" t="s">
        <v>233</v>
      </c>
      <c r="L8" s="10" t="s">
        <v>251</v>
      </c>
      <c r="M8" s="10" t="s">
        <v>240</v>
      </c>
      <c r="N8" s="7" t="s">
        <v>246</v>
      </c>
      <c r="O8" s="7" t="s">
        <v>241</v>
      </c>
      <c r="P8" s="7"/>
      <c r="Q8" s="7"/>
      <c r="R8" s="7"/>
      <c r="S8" s="7"/>
      <c r="T8" s="7"/>
      <c r="U8" s="7"/>
      <c r="V8" s="7"/>
      <c r="W8" s="7"/>
      <c r="X8" s="7"/>
      <c r="Y8" s="7"/>
      <c r="Z8" s="7"/>
      <c r="AA8" s="7"/>
      <c r="AB8" s="7"/>
      <c r="AC8" s="7"/>
    </row>
    <row r="9" spans="1:29" ht="15.5" x14ac:dyDescent="0.35">
      <c r="A9" s="7" t="s">
        <v>46</v>
      </c>
      <c r="B9" s="7" t="s">
        <v>47</v>
      </c>
      <c r="C9" s="11">
        <v>45875</v>
      </c>
      <c r="D9" s="7" t="s">
        <v>247</v>
      </c>
      <c r="E9" s="9">
        <v>42.79</v>
      </c>
      <c r="F9" s="9">
        <v>11.5</v>
      </c>
      <c r="G9" s="9">
        <v>15.3</v>
      </c>
      <c r="H9" s="9">
        <v>0.35756017759999997</v>
      </c>
      <c r="I9" s="7" t="s">
        <v>232</v>
      </c>
      <c r="J9" s="7"/>
      <c r="K9" s="7" t="s">
        <v>233</v>
      </c>
      <c r="L9" s="10" t="s">
        <v>252</v>
      </c>
      <c r="M9" s="10" t="s">
        <v>235</v>
      </c>
      <c r="N9" s="7" t="s">
        <v>236</v>
      </c>
      <c r="O9" s="7" t="s">
        <v>241</v>
      </c>
      <c r="P9" s="7"/>
      <c r="Q9" s="7" t="s">
        <v>253</v>
      </c>
      <c r="R9" s="7"/>
      <c r="S9" s="7"/>
      <c r="T9" s="7"/>
      <c r="U9" s="7"/>
      <c r="V9" s="7"/>
      <c r="W9" s="7"/>
      <c r="X9" s="7"/>
      <c r="Y9" s="7"/>
      <c r="Z9" s="7"/>
      <c r="AA9" s="7"/>
      <c r="AB9" s="7"/>
      <c r="AC9" s="7"/>
    </row>
    <row r="10" spans="1:29" ht="15.5" x14ac:dyDescent="0.35">
      <c r="A10" s="7" t="s">
        <v>65</v>
      </c>
      <c r="B10" s="7" t="s">
        <v>66</v>
      </c>
      <c r="C10" s="11">
        <v>45875</v>
      </c>
      <c r="D10" s="7" t="s">
        <v>247</v>
      </c>
      <c r="E10" s="9">
        <v>44.94</v>
      </c>
      <c r="F10" s="9">
        <v>13.6</v>
      </c>
      <c r="G10" s="9">
        <v>22.8</v>
      </c>
      <c r="H10" s="9">
        <v>0.50734312420000005</v>
      </c>
      <c r="I10" s="7" t="s">
        <v>248</v>
      </c>
      <c r="J10" s="7"/>
      <c r="K10" s="7" t="s">
        <v>233</v>
      </c>
      <c r="L10" s="10" t="s">
        <v>254</v>
      </c>
      <c r="M10" s="10" t="s">
        <v>235</v>
      </c>
      <c r="N10" s="7" t="s">
        <v>236</v>
      </c>
      <c r="O10" s="7" t="s">
        <v>241</v>
      </c>
      <c r="P10" s="7"/>
      <c r="Q10" s="7"/>
      <c r="R10" s="7"/>
      <c r="S10" s="7"/>
      <c r="T10" s="7"/>
      <c r="U10" s="7"/>
      <c r="V10" s="7"/>
      <c r="W10" s="7"/>
      <c r="X10" s="7"/>
      <c r="Y10" s="7"/>
      <c r="Z10" s="7"/>
      <c r="AA10" s="7"/>
      <c r="AB10" s="7"/>
      <c r="AC10" s="7"/>
    </row>
    <row r="11" spans="1:29" ht="15.5" x14ac:dyDescent="0.35">
      <c r="A11" s="7" t="s">
        <v>74</v>
      </c>
      <c r="B11" s="7" t="s">
        <v>75</v>
      </c>
      <c r="C11" s="11">
        <v>45875</v>
      </c>
      <c r="D11" s="7" t="s">
        <v>247</v>
      </c>
      <c r="E11" s="9">
        <v>44.48</v>
      </c>
      <c r="F11" s="9">
        <v>14.4</v>
      </c>
      <c r="G11" s="9">
        <v>21.5</v>
      </c>
      <c r="H11" s="9">
        <v>0.4833633094</v>
      </c>
      <c r="I11" s="7" t="s">
        <v>248</v>
      </c>
      <c r="J11" s="7"/>
      <c r="K11" s="7" t="s">
        <v>255</v>
      </c>
      <c r="L11" s="10" t="s">
        <v>256</v>
      </c>
      <c r="M11" s="10" t="s">
        <v>245</v>
      </c>
      <c r="N11" s="7" t="s">
        <v>246</v>
      </c>
      <c r="O11" s="7" t="s">
        <v>257</v>
      </c>
      <c r="P11" s="7" t="s">
        <v>258</v>
      </c>
      <c r="Q11" s="7" t="s">
        <v>259</v>
      </c>
      <c r="R11" s="7"/>
      <c r="S11" s="7"/>
      <c r="T11" s="7"/>
      <c r="U11" s="7"/>
      <c r="V11" s="7"/>
      <c r="W11" s="7"/>
      <c r="X11" s="7"/>
      <c r="Y11" s="7"/>
      <c r="Z11" s="7"/>
      <c r="AA11" s="7"/>
      <c r="AB11" s="7"/>
      <c r="AC11" s="7"/>
    </row>
    <row r="12" spans="1:29" ht="15.5" x14ac:dyDescent="0.35">
      <c r="A12" s="7" t="s">
        <v>38</v>
      </c>
      <c r="B12" s="7" t="s">
        <v>39</v>
      </c>
      <c r="C12" s="11">
        <v>45875</v>
      </c>
      <c r="D12" s="7" t="s">
        <v>247</v>
      </c>
      <c r="E12" s="9">
        <v>46.58</v>
      </c>
      <c r="F12" s="9">
        <v>17.5</v>
      </c>
      <c r="G12" s="9">
        <v>33.4</v>
      </c>
      <c r="H12" s="9">
        <v>0.71704594249999998</v>
      </c>
      <c r="I12" s="7" t="s">
        <v>248</v>
      </c>
      <c r="J12" s="7"/>
      <c r="K12" s="7" t="s">
        <v>233</v>
      </c>
      <c r="L12" s="10" t="s">
        <v>260</v>
      </c>
      <c r="M12" s="10" t="s">
        <v>261</v>
      </c>
      <c r="N12" s="7" t="s">
        <v>236</v>
      </c>
      <c r="O12" s="7" t="s">
        <v>262</v>
      </c>
      <c r="P12" s="7" t="s">
        <v>263</v>
      </c>
      <c r="Q12" s="7"/>
      <c r="R12" s="7"/>
      <c r="S12" s="7"/>
      <c r="T12" s="7"/>
      <c r="U12" s="7"/>
      <c r="V12" s="7"/>
      <c r="W12" s="7"/>
      <c r="X12" s="7"/>
      <c r="Y12" s="7"/>
      <c r="Z12" s="7"/>
      <c r="AA12" s="7"/>
      <c r="AB12" s="7"/>
      <c r="AC12" s="7"/>
    </row>
    <row r="13" spans="1:29" ht="15.5" x14ac:dyDescent="0.35">
      <c r="A13" s="7" t="s">
        <v>34</v>
      </c>
      <c r="B13" s="7" t="s">
        <v>35</v>
      </c>
      <c r="C13" s="11">
        <v>45875</v>
      </c>
      <c r="D13" s="7" t="s">
        <v>247</v>
      </c>
      <c r="E13" s="9">
        <v>45.26</v>
      </c>
      <c r="F13" s="9">
        <v>10.9</v>
      </c>
      <c r="G13" s="9">
        <v>24.3</v>
      </c>
      <c r="H13" s="9">
        <v>0.53689792309999995</v>
      </c>
      <c r="I13" s="7" t="s">
        <v>248</v>
      </c>
      <c r="J13" s="7"/>
      <c r="K13" s="7" t="s">
        <v>233</v>
      </c>
      <c r="L13" s="10" t="s">
        <v>264</v>
      </c>
      <c r="M13" s="10" t="s">
        <v>235</v>
      </c>
      <c r="N13" s="7" t="s">
        <v>246</v>
      </c>
      <c r="O13" s="7" t="s">
        <v>241</v>
      </c>
      <c r="P13" s="7"/>
      <c r="Q13" s="7"/>
      <c r="R13" s="7"/>
      <c r="S13" s="7"/>
      <c r="T13" s="7"/>
      <c r="U13" s="7"/>
      <c r="V13" s="7"/>
      <c r="W13" s="7"/>
      <c r="X13" s="7"/>
      <c r="Y13" s="7"/>
      <c r="Z13" s="7"/>
      <c r="AA13" s="7"/>
      <c r="AB13" s="7"/>
      <c r="AC13" s="7"/>
    </row>
    <row r="14" spans="1:29" ht="15.5" x14ac:dyDescent="0.35">
      <c r="A14" s="7" t="s">
        <v>153</v>
      </c>
      <c r="B14" s="7" t="s">
        <v>154</v>
      </c>
      <c r="C14" s="11">
        <v>45875</v>
      </c>
      <c r="D14" s="7" t="s">
        <v>247</v>
      </c>
      <c r="E14" s="9">
        <v>48.47</v>
      </c>
      <c r="F14" s="9">
        <v>18.600000000000001</v>
      </c>
      <c r="G14" s="9">
        <v>22</v>
      </c>
      <c r="H14" s="9">
        <v>0.4538890035</v>
      </c>
      <c r="I14" s="7" t="s">
        <v>248</v>
      </c>
      <c r="J14" s="7"/>
      <c r="K14" s="7" t="s">
        <v>233</v>
      </c>
      <c r="L14" s="10" t="s">
        <v>265</v>
      </c>
      <c r="M14" s="10" t="s">
        <v>261</v>
      </c>
      <c r="N14" s="7" t="s">
        <v>236</v>
      </c>
      <c r="O14" s="7" t="s">
        <v>241</v>
      </c>
      <c r="P14" s="7"/>
      <c r="Q14" s="7"/>
      <c r="R14" s="7"/>
      <c r="S14" s="7"/>
      <c r="T14" s="7"/>
      <c r="U14" s="7"/>
      <c r="V14" s="7"/>
      <c r="W14" s="7"/>
      <c r="X14" s="7"/>
      <c r="Y14" s="7"/>
      <c r="Z14" s="7"/>
      <c r="AA14" s="7"/>
      <c r="AB14" s="7"/>
      <c r="AC14" s="7"/>
    </row>
    <row r="15" spans="1:29" ht="15.5" x14ac:dyDescent="0.35">
      <c r="A15" s="7" t="s">
        <v>107</v>
      </c>
      <c r="B15" s="7" t="s">
        <v>108</v>
      </c>
      <c r="C15" s="11">
        <v>45875</v>
      </c>
      <c r="D15" s="7" t="s">
        <v>247</v>
      </c>
      <c r="E15" s="9">
        <v>45.49</v>
      </c>
      <c r="F15" s="9">
        <v>13.9</v>
      </c>
      <c r="G15" s="9">
        <v>26</v>
      </c>
      <c r="H15" s="9">
        <v>0.57155418769999999</v>
      </c>
      <c r="I15" s="7" t="s">
        <v>248</v>
      </c>
      <c r="J15" s="7"/>
      <c r="K15" s="7" t="s">
        <v>233</v>
      </c>
      <c r="L15" s="10" t="s">
        <v>266</v>
      </c>
      <c r="M15" s="10" t="s">
        <v>240</v>
      </c>
      <c r="N15" s="7" t="s">
        <v>236</v>
      </c>
      <c r="O15" s="7" t="s">
        <v>241</v>
      </c>
      <c r="P15" s="7"/>
      <c r="Q15" s="7"/>
      <c r="R15" s="7"/>
      <c r="S15" s="7"/>
      <c r="T15" s="7"/>
      <c r="U15" s="7"/>
      <c r="V15" s="7"/>
      <c r="W15" s="7"/>
      <c r="X15" s="7"/>
      <c r="Y15" s="7"/>
      <c r="Z15" s="7"/>
      <c r="AA15" s="7"/>
      <c r="AB15" s="7"/>
      <c r="AC15" s="7"/>
    </row>
    <row r="16" spans="1:29" ht="15.5" x14ac:dyDescent="0.35">
      <c r="A16" s="7" t="s">
        <v>42</v>
      </c>
      <c r="B16" s="7" t="s">
        <v>43</v>
      </c>
      <c r="C16" s="11">
        <v>45875</v>
      </c>
      <c r="D16" s="7" t="s">
        <v>247</v>
      </c>
      <c r="E16" s="9">
        <v>45.83</v>
      </c>
      <c r="F16" s="9">
        <v>15.1</v>
      </c>
      <c r="G16" s="9">
        <v>34.5</v>
      </c>
      <c r="H16" s="9">
        <v>0.75278202049999998</v>
      </c>
      <c r="I16" s="7" t="s">
        <v>248</v>
      </c>
      <c r="J16" s="7"/>
      <c r="K16" s="7" t="s">
        <v>255</v>
      </c>
      <c r="L16" s="10" t="s">
        <v>267</v>
      </c>
      <c r="M16" s="10" t="s">
        <v>243</v>
      </c>
      <c r="N16" s="7" t="s">
        <v>236</v>
      </c>
      <c r="O16" s="7" t="s">
        <v>268</v>
      </c>
      <c r="P16" s="7"/>
      <c r="Q16" s="7" t="s">
        <v>269</v>
      </c>
      <c r="R16" s="7"/>
      <c r="S16" s="7"/>
      <c r="T16" s="7"/>
      <c r="U16" s="7"/>
      <c r="V16" s="7"/>
      <c r="W16" s="7"/>
      <c r="X16" s="7"/>
      <c r="Y16" s="7"/>
      <c r="Z16" s="7"/>
      <c r="AA16" s="7"/>
      <c r="AB16" s="7"/>
      <c r="AC16" s="7"/>
    </row>
    <row r="17" spans="1:29" ht="15.5" x14ac:dyDescent="0.35">
      <c r="A17" s="7" t="s">
        <v>135</v>
      </c>
      <c r="B17" s="7" t="s">
        <v>136</v>
      </c>
      <c r="C17" s="11">
        <v>45875</v>
      </c>
      <c r="D17" s="7" t="s">
        <v>247</v>
      </c>
      <c r="E17" s="9">
        <v>47.63</v>
      </c>
      <c r="F17" s="9">
        <v>17.399999999999999</v>
      </c>
      <c r="G17" s="9">
        <v>36</v>
      </c>
      <c r="H17" s="9">
        <v>0.75582616000000002</v>
      </c>
      <c r="I17" s="7" t="s">
        <v>248</v>
      </c>
      <c r="J17" s="7"/>
      <c r="K17" s="7" t="s">
        <v>255</v>
      </c>
      <c r="L17" s="10" t="s">
        <v>270</v>
      </c>
      <c r="M17" s="7" t="s">
        <v>245</v>
      </c>
      <c r="N17" s="7" t="s">
        <v>246</v>
      </c>
      <c r="O17" s="7" t="s">
        <v>257</v>
      </c>
      <c r="P17" s="7" t="s">
        <v>271</v>
      </c>
      <c r="Q17" s="7" t="s">
        <v>272</v>
      </c>
      <c r="R17" s="7"/>
      <c r="S17" s="7"/>
      <c r="T17" s="7"/>
      <c r="U17" s="7"/>
      <c r="V17" s="7"/>
      <c r="W17" s="7"/>
      <c r="X17" s="7"/>
      <c r="Y17" s="7"/>
      <c r="Z17" s="7"/>
      <c r="AA17" s="7"/>
      <c r="AB17" s="7"/>
      <c r="AC17" s="7"/>
    </row>
    <row r="18" spans="1:29" ht="15.5" x14ac:dyDescent="0.35">
      <c r="A18" s="7" t="s">
        <v>139</v>
      </c>
      <c r="B18" s="7" t="s">
        <v>140</v>
      </c>
      <c r="C18" s="11">
        <v>45875</v>
      </c>
      <c r="D18" s="7" t="s">
        <v>247</v>
      </c>
      <c r="E18" s="9">
        <v>46.37</v>
      </c>
      <c r="F18" s="9">
        <v>15.6</v>
      </c>
      <c r="G18" s="9">
        <v>26.5</v>
      </c>
      <c r="H18" s="9">
        <v>0.57149018760000003</v>
      </c>
      <c r="I18" s="7" t="s">
        <v>248</v>
      </c>
      <c r="J18" s="7"/>
      <c r="K18" s="7" t="s">
        <v>233</v>
      </c>
      <c r="L18" s="10" t="s">
        <v>273</v>
      </c>
      <c r="M18" s="10" t="s">
        <v>261</v>
      </c>
      <c r="N18" s="7" t="s">
        <v>246</v>
      </c>
      <c r="O18" s="7" t="s">
        <v>241</v>
      </c>
      <c r="P18" s="7"/>
      <c r="Q18" s="7" t="s">
        <v>274</v>
      </c>
      <c r="R18" s="7"/>
      <c r="S18" s="7"/>
      <c r="T18" s="7"/>
      <c r="U18" s="7"/>
      <c r="V18" s="7"/>
      <c r="W18" s="7"/>
      <c r="X18" s="7"/>
      <c r="Y18" s="7"/>
      <c r="Z18" s="7"/>
      <c r="AA18" s="7"/>
      <c r="AB18" s="7"/>
      <c r="AC18" s="7"/>
    </row>
    <row r="19" spans="1:29" ht="15.5" x14ac:dyDescent="0.35">
      <c r="A19" s="7" t="s">
        <v>275</v>
      </c>
      <c r="B19" s="7" t="s">
        <v>276</v>
      </c>
      <c r="C19" s="11">
        <v>45875</v>
      </c>
      <c r="D19" s="7" t="s">
        <v>247</v>
      </c>
      <c r="E19" s="9">
        <v>44.82</v>
      </c>
      <c r="F19" s="9">
        <v>12.2</v>
      </c>
      <c r="G19" s="9">
        <v>24.7</v>
      </c>
      <c r="H19" s="9">
        <v>0.55109326189999996</v>
      </c>
      <c r="I19" s="7" t="s">
        <v>248</v>
      </c>
      <c r="J19" s="7"/>
      <c r="K19" s="7" t="s">
        <v>255</v>
      </c>
      <c r="L19" s="10" t="s">
        <v>277</v>
      </c>
      <c r="M19" s="10" t="s">
        <v>243</v>
      </c>
      <c r="N19" s="7" t="s">
        <v>236</v>
      </c>
      <c r="O19" s="7" t="s">
        <v>278</v>
      </c>
      <c r="P19" s="7" t="s">
        <v>279</v>
      </c>
      <c r="Q19" s="7" t="s">
        <v>280</v>
      </c>
      <c r="R19" s="7"/>
      <c r="S19" s="7"/>
      <c r="T19" s="7"/>
      <c r="U19" s="7"/>
      <c r="V19" s="7"/>
      <c r="W19" s="7"/>
      <c r="X19" s="7"/>
      <c r="Y19" s="7"/>
      <c r="Z19" s="7"/>
      <c r="AA19" s="7"/>
      <c r="AB19" s="7"/>
      <c r="AC19" s="7"/>
    </row>
    <row r="20" spans="1:29" ht="15.5" x14ac:dyDescent="0.35">
      <c r="A20" s="7" t="s">
        <v>87</v>
      </c>
      <c r="B20" s="7" t="s">
        <v>88</v>
      </c>
      <c r="C20" s="11">
        <v>45875</v>
      </c>
      <c r="D20" s="7" t="s">
        <v>247</v>
      </c>
      <c r="E20" s="9">
        <v>47.09</v>
      </c>
      <c r="F20" s="9">
        <v>15.9</v>
      </c>
      <c r="G20" s="9">
        <v>27.5</v>
      </c>
      <c r="H20" s="9">
        <v>0.5839881079</v>
      </c>
      <c r="I20" s="7" t="s">
        <v>248</v>
      </c>
      <c r="J20" s="7"/>
      <c r="K20" s="7" t="s">
        <v>233</v>
      </c>
      <c r="L20" s="10" t="s">
        <v>281</v>
      </c>
      <c r="M20" s="10" t="s">
        <v>243</v>
      </c>
      <c r="N20" s="7" t="s">
        <v>246</v>
      </c>
      <c r="O20" s="7" t="s">
        <v>241</v>
      </c>
      <c r="P20" s="7"/>
      <c r="Q20" s="7"/>
      <c r="R20" s="7"/>
      <c r="S20" s="7"/>
      <c r="T20" s="7"/>
      <c r="U20" s="7"/>
      <c r="V20" s="7"/>
      <c r="W20" s="7"/>
      <c r="X20" s="7"/>
      <c r="Y20" s="7"/>
      <c r="Z20" s="7"/>
      <c r="AA20" s="7"/>
      <c r="AB20" s="7"/>
      <c r="AC20" s="7"/>
    </row>
    <row r="21" spans="1:29" ht="15.5" x14ac:dyDescent="0.35">
      <c r="A21" s="7" t="s">
        <v>157</v>
      </c>
      <c r="B21" s="7" t="s">
        <v>158</v>
      </c>
      <c r="C21" s="11">
        <v>45875</v>
      </c>
      <c r="D21" s="7" t="s">
        <v>247</v>
      </c>
      <c r="E21" s="9">
        <v>46.54</v>
      </c>
      <c r="F21" s="9">
        <v>13.8</v>
      </c>
      <c r="G21" s="9">
        <v>30.1</v>
      </c>
      <c r="H21" s="9">
        <v>0.64675547919999998</v>
      </c>
      <c r="I21" s="7" t="s">
        <v>248</v>
      </c>
      <c r="J21" s="7"/>
      <c r="K21" s="7" t="s">
        <v>255</v>
      </c>
      <c r="L21" s="10" t="s">
        <v>282</v>
      </c>
      <c r="M21" s="10" t="s">
        <v>235</v>
      </c>
      <c r="N21" s="7" t="s">
        <v>246</v>
      </c>
      <c r="O21" s="7" t="s">
        <v>283</v>
      </c>
      <c r="P21" s="7"/>
      <c r="Q21" s="7" t="s">
        <v>284</v>
      </c>
      <c r="R21" s="7"/>
      <c r="S21" s="7"/>
      <c r="T21" s="7"/>
      <c r="U21" s="7"/>
      <c r="V21" s="7"/>
      <c r="W21" s="7"/>
      <c r="X21" s="7"/>
      <c r="Y21" s="7"/>
      <c r="Z21" s="7"/>
      <c r="AA21" s="7"/>
      <c r="AB21" s="7"/>
      <c r="AC21" s="7"/>
    </row>
    <row r="22" spans="1:29" ht="15.5" x14ac:dyDescent="0.35">
      <c r="A22" s="7" t="s">
        <v>189</v>
      </c>
      <c r="B22" s="7" t="s">
        <v>190</v>
      </c>
      <c r="C22" s="11">
        <v>45875</v>
      </c>
      <c r="D22" s="7" t="s">
        <v>247</v>
      </c>
      <c r="E22" s="9">
        <v>47.34</v>
      </c>
      <c r="F22" s="9">
        <v>14.6</v>
      </c>
      <c r="G22" s="9">
        <v>25.5</v>
      </c>
      <c r="H22" s="9">
        <v>0.53865652720000001</v>
      </c>
      <c r="I22" s="7" t="s">
        <v>248</v>
      </c>
      <c r="J22" s="7"/>
      <c r="K22" s="7" t="s">
        <v>233</v>
      </c>
      <c r="L22" s="10" t="s">
        <v>285</v>
      </c>
      <c r="M22" s="10" t="s">
        <v>261</v>
      </c>
      <c r="N22" s="7" t="s">
        <v>236</v>
      </c>
      <c r="O22" s="7" t="s">
        <v>241</v>
      </c>
      <c r="P22" s="7"/>
      <c r="Q22" s="7"/>
      <c r="R22" s="7"/>
      <c r="S22" s="7"/>
      <c r="T22" s="7"/>
      <c r="U22" s="7"/>
      <c r="V22" s="7"/>
      <c r="W22" s="7"/>
      <c r="X22" s="7"/>
      <c r="Y22" s="7"/>
      <c r="Z22" s="7"/>
      <c r="AA22" s="7"/>
      <c r="AB22" s="7"/>
      <c r="AC22" s="7"/>
    </row>
    <row r="23" spans="1:29" ht="15.5" x14ac:dyDescent="0.35">
      <c r="A23" s="7" t="s">
        <v>115</v>
      </c>
      <c r="B23" s="7" t="s">
        <v>116</v>
      </c>
      <c r="C23" s="11">
        <v>45875</v>
      </c>
      <c r="D23" s="7" t="s">
        <v>247</v>
      </c>
      <c r="E23" s="9">
        <v>46.23</v>
      </c>
      <c r="F23" s="9">
        <v>16.600000000000001</v>
      </c>
      <c r="G23" s="9">
        <v>33.5</v>
      </c>
      <c r="H23" s="9">
        <v>0.72463768120000005</v>
      </c>
      <c r="I23" s="7" t="s">
        <v>248</v>
      </c>
      <c r="J23" s="7"/>
      <c r="K23" s="7" t="s">
        <v>255</v>
      </c>
      <c r="L23" s="10" t="s">
        <v>286</v>
      </c>
      <c r="M23" s="10" t="s">
        <v>240</v>
      </c>
      <c r="N23" s="7" t="s">
        <v>246</v>
      </c>
      <c r="O23" s="7" t="s">
        <v>268</v>
      </c>
      <c r="P23" s="7"/>
      <c r="Q23" s="7" t="s">
        <v>287</v>
      </c>
      <c r="R23" s="7"/>
      <c r="S23" s="7"/>
      <c r="T23" s="7"/>
      <c r="U23" s="7"/>
      <c r="V23" s="7"/>
      <c r="W23" s="7"/>
      <c r="X23" s="7"/>
      <c r="Y23" s="7"/>
      <c r="Z23" s="7"/>
      <c r="AA23" s="7"/>
      <c r="AB23" s="7"/>
      <c r="AC23" s="7"/>
    </row>
    <row r="24" spans="1:29" ht="15.5" x14ac:dyDescent="0.35">
      <c r="A24" s="7" t="s">
        <v>50</v>
      </c>
      <c r="B24" s="7" t="s">
        <v>51</v>
      </c>
      <c r="C24" s="11">
        <v>45875</v>
      </c>
      <c r="D24" s="7" t="s">
        <v>247</v>
      </c>
      <c r="E24" s="9">
        <v>47.71</v>
      </c>
      <c r="F24" s="9">
        <v>15.4</v>
      </c>
      <c r="G24" s="9">
        <v>25.5</v>
      </c>
      <c r="H24" s="9">
        <v>0.53447914480000003</v>
      </c>
      <c r="I24" s="7" t="s">
        <v>248</v>
      </c>
      <c r="J24" s="7"/>
      <c r="K24" s="7" t="s">
        <v>255</v>
      </c>
      <c r="L24" s="10" t="s">
        <v>288</v>
      </c>
      <c r="M24" s="10" t="s">
        <v>243</v>
      </c>
      <c r="N24" s="7" t="s">
        <v>246</v>
      </c>
      <c r="O24" s="7" t="s">
        <v>289</v>
      </c>
      <c r="P24" s="7"/>
      <c r="Q24" s="7" t="s">
        <v>290</v>
      </c>
      <c r="R24" s="7"/>
      <c r="S24" s="7"/>
      <c r="T24" s="7"/>
      <c r="U24" s="7"/>
      <c r="V24" s="7"/>
      <c r="W24" s="7"/>
      <c r="X24" s="7"/>
      <c r="Y24" s="7"/>
      <c r="Z24" s="7"/>
      <c r="AA24" s="7"/>
      <c r="AB24" s="7"/>
      <c r="AC24" s="7"/>
    </row>
    <row r="25" spans="1:29" ht="15.5" x14ac:dyDescent="0.35">
      <c r="A25" s="7" t="s">
        <v>70</v>
      </c>
      <c r="B25" s="7" t="s">
        <v>71</v>
      </c>
      <c r="C25" s="11">
        <v>45875</v>
      </c>
      <c r="D25" s="7" t="s">
        <v>247</v>
      </c>
      <c r="E25" s="9">
        <v>44.49</v>
      </c>
      <c r="F25" s="9">
        <v>11.8</v>
      </c>
      <c r="G25" s="9">
        <v>23.3</v>
      </c>
      <c r="H25" s="9">
        <v>0.52371319400000005</v>
      </c>
      <c r="I25" s="7" t="s">
        <v>232</v>
      </c>
      <c r="J25" s="7"/>
      <c r="K25" s="7" t="s">
        <v>255</v>
      </c>
      <c r="L25" s="10" t="s">
        <v>291</v>
      </c>
      <c r="M25" s="10" t="s">
        <v>261</v>
      </c>
      <c r="N25" s="7" t="s">
        <v>246</v>
      </c>
      <c r="O25" s="7" t="s">
        <v>292</v>
      </c>
      <c r="P25" s="7" t="s">
        <v>293</v>
      </c>
      <c r="Q25" s="7" t="s">
        <v>294</v>
      </c>
      <c r="R25" s="7"/>
      <c r="S25" s="7"/>
      <c r="T25" s="7"/>
      <c r="U25" s="7"/>
      <c r="V25" s="7"/>
      <c r="W25" s="7"/>
      <c r="X25" s="7"/>
      <c r="Y25" s="7"/>
      <c r="Z25" s="7"/>
      <c r="AA25" s="7"/>
      <c r="AB25" s="7"/>
      <c r="AC25" s="7"/>
    </row>
    <row r="26" spans="1:29" ht="15.5" x14ac:dyDescent="0.35">
      <c r="A26" s="7" t="s">
        <v>161</v>
      </c>
      <c r="B26" s="7" t="s">
        <v>162</v>
      </c>
      <c r="C26" s="11">
        <v>45881</v>
      </c>
      <c r="D26" s="12" t="s">
        <v>295</v>
      </c>
      <c r="E26" s="9">
        <v>41.85</v>
      </c>
      <c r="F26" s="9">
        <v>15.2</v>
      </c>
      <c r="G26" s="9">
        <v>19.7</v>
      </c>
      <c r="H26" s="9">
        <v>0.4707287933</v>
      </c>
      <c r="I26" s="7" t="s">
        <v>248</v>
      </c>
      <c r="J26" s="7"/>
      <c r="K26" s="7" t="s">
        <v>233</v>
      </c>
      <c r="L26" s="10" t="s">
        <v>296</v>
      </c>
      <c r="M26" s="10" t="s">
        <v>240</v>
      </c>
      <c r="N26" s="7" t="s">
        <v>246</v>
      </c>
      <c r="O26" s="7" t="s">
        <v>241</v>
      </c>
      <c r="P26" s="7"/>
      <c r="Q26" s="7"/>
      <c r="R26" s="7"/>
      <c r="S26" s="7"/>
      <c r="T26" s="7"/>
      <c r="U26" s="7"/>
      <c r="V26" s="7"/>
      <c r="W26" s="7"/>
      <c r="X26" s="7"/>
      <c r="Y26" s="7"/>
      <c r="Z26" s="7"/>
      <c r="AA26" s="7"/>
      <c r="AB26" s="7"/>
      <c r="AC26" s="7"/>
    </row>
    <row r="27" spans="1:29" ht="15.5" x14ac:dyDescent="0.35">
      <c r="A27" s="7" t="s">
        <v>123</v>
      </c>
      <c r="B27" s="7" t="s">
        <v>124</v>
      </c>
      <c r="C27" s="11">
        <v>45884</v>
      </c>
      <c r="D27" s="7" t="s">
        <v>231</v>
      </c>
      <c r="E27" s="9">
        <v>41.17</v>
      </c>
      <c r="F27" s="9">
        <v>15.5</v>
      </c>
      <c r="G27" s="9">
        <v>13.7</v>
      </c>
      <c r="H27" s="9">
        <v>0.3327665776</v>
      </c>
      <c r="I27" s="7" t="s">
        <v>248</v>
      </c>
      <c r="J27" s="7"/>
      <c r="K27" s="7" t="s">
        <v>233</v>
      </c>
      <c r="L27" s="10" t="s">
        <v>297</v>
      </c>
      <c r="M27" s="10" t="s">
        <v>261</v>
      </c>
      <c r="N27" s="7" t="s">
        <v>236</v>
      </c>
      <c r="O27" s="7" t="s">
        <v>241</v>
      </c>
      <c r="P27" s="7"/>
      <c r="Q27" s="7"/>
      <c r="R27" s="7"/>
      <c r="S27" s="7"/>
      <c r="T27" s="7"/>
      <c r="U27" s="7"/>
      <c r="V27" s="7"/>
      <c r="W27" s="7"/>
      <c r="X27" s="7"/>
      <c r="Y27" s="7"/>
      <c r="Z27" s="7"/>
      <c r="AA27" s="7"/>
      <c r="AB27" s="7"/>
      <c r="AC27" s="7"/>
    </row>
    <row r="28" spans="1:29" ht="15.5" x14ac:dyDescent="0.35">
      <c r="A28" s="7" t="s">
        <v>168</v>
      </c>
      <c r="B28" s="7" t="s">
        <v>169</v>
      </c>
      <c r="C28" s="11">
        <v>45884</v>
      </c>
      <c r="D28" s="7" t="s">
        <v>231</v>
      </c>
      <c r="E28" s="9">
        <v>46.4</v>
      </c>
      <c r="F28" s="9">
        <v>18.600000000000001</v>
      </c>
      <c r="G28" s="9">
        <v>15.9</v>
      </c>
      <c r="H28" s="9">
        <v>0.34267241380000002</v>
      </c>
      <c r="I28" s="7" t="s">
        <v>248</v>
      </c>
      <c r="J28" s="7"/>
      <c r="K28" s="7" t="s">
        <v>233</v>
      </c>
      <c r="L28" s="10" t="s">
        <v>298</v>
      </c>
      <c r="M28" s="10" t="s">
        <v>243</v>
      </c>
      <c r="N28" s="7" t="s">
        <v>236</v>
      </c>
      <c r="O28" s="7" t="s">
        <v>241</v>
      </c>
      <c r="P28" s="7"/>
      <c r="Q28" s="7"/>
      <c r="R28" s="7"/>
      <c r="S28" s="7"/>
      <c r="T28" s="7"/>
      <c r="U28" s="7"/>
      <c r="V28" s="7"/>
      <c r="W28" s="7"/>
      <c r="X28" s="7"/>
      <c r="Y28" s="7"/>
      <c r="Z28" s="7"/>
      <c r="AA28" s="7"/>
      <c r="AB28" s="7"/>
      <c r="AC28" s="7"/>
    </row>
    <row r="29" spans="1:29" ht="15.5" x14ac:dyDescent="0.35">
      <c r="A29" s="7" t="s">
        <v>175</v>
      </c>
      <c r="B29" s="7" t="s">
        <v>176</v>
      </c>
      <c r="C29" s="11">
        <v>45884</v>
      </c>
      <c r="D29" s="7" t="s">
        <v>231</v>
      </c>
      <c r="E29" s="9">
        <v>43.29</v>
      </c>
      <c r="F29" s="9">
        <v>13.1</v>
      </c>
      <c r="G29" s="9">
        <v>15.1</v>
      </c>
      <c r="H29" s="9">
        <v>0.3488103488</v>
      </c>
      <c r="I29" s="7" t="s">
        <v>248</v>
      </c>
      <c r="J29" s="7"/>
      <c r="K29" s="7" t="s">
        <v>255</v>
      </c>
      <c r="L29" s="10" t="s">
        <v>299</v>
      </c>
      <c r="M29" s="10" t="s">
        <v>245</v>
      </c>
      <c r="N29" s="7" t="s">
        <v>246</v>
      </c>
      <c r="O29" s="7" t="s">
        <v>268</v>
      </c>
      <c r="P29" s="7"/>
      <c r="Q29" s="7" t="s">
        <v>300</v>
      </c>
      <c r="R29" s="7"/>
      <c r="S29" s="7"/>
      <c r="T29" s="7"/>
      <c r="U29" s="7"/>
      <c r="V29" s="7"/>
      <c r="W29" s="7"/>
      <c r="X29" s="7"/>
      <c r="Y29" s="7"/>
      <c r="Z29" s="7"/>
      <c r="AA29" s="7"/>
      <c r="AB29" s="7"/>
      <c r="AC29" s="7"/>
    </row>
    <row r="30" spans="1:29" ht="15.5" x14ac:dyDescent="0.35">
      <c r="A30" s="7" t="s">
        <v>205</v>
      </c>
      <c r="B30" s="7" t="s">
        <v>206</v>
      </c>
      <c r="C30" s="11">
        <v>45884</v>
      </c>
      <c r="D30" s="7" t="s">
        <v>231</v>
      </c>
      <c r="E30" s="9">
        <v>45.32</v>
      </c>
      <c r="F30" s="9">
        <v>15.2</v>
      </c>
      <c r="G30" s="9">
        <v>22</v>
      </c>
      <c r="H30" s="9">
        <v>0.4854368932</v>
      </c>
      <c r="I30" s="7" t="s">
        <v>232</v>
      </c>
      <c r="J30" s="7"/>
      <c r="K30" s="7" t="s">
        <v>233</v>
      </c>
      <c r="L30" s="7" t="s">
        <v>301</v>
      </c>
      <c r="M30" s="10" t="s">
        <v>245</v>
      </c>
      <c r="N30" s="7" t="s">
        <v>236</v>
      </c>
      <c r="O30" s="7" t="s">
        <v>241</v>
      </c>
      <c r="P30" s="7" t="s">
        <v>302</v>
      </c>
      <c r="Q30" s="7"/>
      <c r="R30" s="7"/>
      <c r="S30" s="7"/>
      <c r="T30" s="7"/>
      <c r="U30" s="7"/>
      <c r="V30" s="7"/>
      <c r="W30" s="7"/>
      <c r="X30" s="7"/>
      <c r="Y30" s="7"/>
      <c r="Z30" s="7"/>
      <c r="AA30" s="7"/>
      <c r="AB30" s="7"/>
      <c r="AC30" s="7"/>
    </row>
    <row r="31" spans="1:29" ht="15.5" x14ac:dyDescent="0.35">
      <c r="A31" s="7" t="s">
        <v>195</v>
      </c>
      <c r="B31" s="7" t="s">
        <v>196</v>
      </c>
      <c r="C31" s="11">
        <v>45887</v>
      </c>
      <c r="D31" s="7" t="s">
        <v>303</v>
      </c>
      <c r="E31" s="9">
        <v>46.65</v>
      </c>
      <c r="F31" s="9">
        <v>18.2</v>
      </c>
      <c r="G31" s="9">
        <v>14.8</v>
      </c>
      <c r="H31" s="9">
        <v>0.31725616290000003</v>
      </c>
      <c r="I31" s="7" t="s">
        <v>248</v>
      </c>
      <c r="J31" s="7"/>
      <c r="K31" s="7" t="s">
        <v>233</v>
      </c>
      <c r="L31" s="10" t="s">
        <v>304</v>
      </c>
      <c r="M31" s="10" t="s">
        <v>245</v>
      </c>
      <c r="N31" s="7" t="s">
        <v>236</v>
      </c>
      <c r="O31" s="7" t="s">
        <v>241</v>
      </c>
      <c r="P31" s="7"/>
      <c r="Q31" s="7"/>
      <c r="R31" s="7"/>
      <c r="S31" s="7"/>
      <c r="T31" s="7"/>
      <c r="U31" s="7"/>
      <c r="V31" s="7"/>
      <c r="W31" s="7"/>
      <c r="X31" s="7"/>
      <c r="Y31" s="7"/>
      <c r="Z31" s="7"/>
      <c r="AA31" s="7"/>
      <c r="AB31" s="7"/>
      <c r="AC31" s="7"/>
    </row>
    <row r="32" spans="1:29" ht="15.5" x14ac:dyDescent="0.35">
      <c r="A32" s="7" t="s">
        <v>26</v>
      </c>
      <c r="B32" s="7" t="s">
        <v>27</v>
      </c>
      <c r="C32" s="11">
        <v>45887</v>
      </c>
      <c r="D32" s="7" t="s">
        <v>303</v>
      </c>
      <c r="E32" s="9">
        <v>45.2</v>
      </c>
      <c r="F32" s="9">
        <v>16.7</v>
      </c>
      <c r="G32" s="9">
        <v>20.100000000000001</v>
      </c>
      <c r="H32" s="9">
        <v>0.44469026550000001</v>
      </c>
      <c r="I32" s="7" t="s">
        <v>248</v>
      </c>
      <c r="J32" s="7"/>
      <c r="K32" s="7" t="s">
        <v>233</v>
      </c>
      <c r="L32" s="13" t="s">
        <v>305</v>
      </c>
      <c r="M32" s="10" t="s">
        <v>235</v>
      </c>
      <c r="N32" s="7" t="s">
        <v>246</v>
      </c>
      <c r="O32" s="7" t="s">
        <v>241</v>
      </c>
      <c r="P32" s="7"/>
      <c r="Q32" s="7"/>
      <c r="R32" s="7"/>
      <c r="S32" s="7"/>
      <c r="T32" s="7"/>
      <c r="U32" s="7"/>
      <c r="V32" s="7"/>
      <c r="W32" s="7"/>
      <c r="X32" s="7"/>
      <c r="Y32" s="7"/>
      <c r="Z32" s="7"/>
      <c r="AA32" s="7"/>
      <c r="AB32" s="7"/>
      <c r="AC32" s="7"/>
    </row>
    <row r="33" spans="1:29" ht="15.5" x14ac:dyDescent="0.35">
      <c r="A33" s="7" t="s">
        <v>143</v>
      </c>
      <c r="B33" s="7" t="s">
        <v>144</v>
      </c>
      <c r="C33" s="11">
        <v>45887</v>
      </c>
      <c r="D33" s="7" t="s">
        <v>303</v>
      </c>
      <c r="E33" s="9">
        <v>46.95</v>
      </c>
      <c r="F33" s="9">
        <v>15.9</v>
      </c>
      <c r="G33" s="9">
        <v>20.100000000000001</v>
      </c>
      <c r="H33" s="9">
        <v>0.42811501600000001</v>
      </c>
      <c r="I33" s="7" t="s">
        <v>248</v>
      </c>
      <c r="J33" s="7"/>
      <c r="K33" s="7" t="s">
        <v>233</v>
      </c>
      <c r="L33" s="10" t="s">
        <v>306</v>
      </c>
      <c r="M33" s="10" t="s">
        <v>240</v>
      </c>
      <c r="N33" s="7" t="s">
        <v>236</v>
      </c>
      <c r="O33" s="7" t="s">
        <v>241</v>
      </c>
      <c r="P33" s="7"/>
      <c r="Q33" s="7"/>
      <c r="R33" s="7"/>
      <c r="S33" s="7"/>
      <c r="T33" s="7"/>
      <c r="U33" s="7"/>
      <c r="V33" s="7"/>
      <c r="W33" s="7"/>
      <c r="X33" s="7"/>
      <c r="Y33" s="7"/>
      <c r="Z33" s="7"/>
      <c r="AA33" s="7"/>
      <c r="AB33" s="7"/>
      <c r="AC33" s="7"/>
    </row>
    <row r="34" spans="1:29" ht="15.5" x14ac:dyDescent="0.35">
      <c r="A34" s="7" t="s">
        <v>103</v>
      </c>
      <c r="B34" s="7" t="s">
        <v>104</v>
      </c>
      <c r="C34" s="11">
        <v>45887</v>
      </c>
      <c r="D34" s="7" t="s">
        <v>303</v>
      </c>
      <c r="E34" s="9">
        <v>47.82</v>
      </c>
      <c r="F34" s="9">
        <v>20.100000000000001</v>
      </c>
      <c r="G34" s="9">
        <v>16.2</v>
      </c>
      <c r="H34" s="9">
        <v>0.33877038900000001</v>
      </c>
      <c r="I34" s="7" t="s">
        <v>248</v>
      </c>
      <c r="J34" s="7"/>
      <c r="K34" s="7" t="s">
        <v>233</v>
      </c>
      <c r="L34" s="10" t="s">
        <v>307</v>
      </c>
      <c r="M34" s="10" t="s">
        <v>240</v>
      </c>
      <c r="N34" s="7" t="s">
        <v>246</v>
      </c>
      <c r="O34" s="7" t="s">
        <v>241</v>
      </c>
      <c r="P34" s="7"/>
      <c r="Q34" s="7"/>
      <c r="R34" s="7"/>
      <c r="S34" s="7"/>
      <c r="T34" s="7"/>
      <c r="U34" s="7"/>
      <c r="V34" s="7"/>
      <c r="W34" s="7"/>
      <c r="X34" s="7"/>
      <c r="Y34" s="7"/>
      <c r="Z34" s="7"/>
      <c r="AA34" s="7"/>
      <c r="AB34" s="7"/>
      <c r="AC34" s="7"/>
    </row>
    <row r="35" spans="1:29" ht="15.5" x14ac:dyDescent="0.35">
      <c r="A35" s="7" t="s">
        <v>172</v>
      </c>
      <c r="B35" s="7" t="s">
        <v>173</v>
      </c>
      <c r="C35" s="11">
        <v>45887</v>
      </c>
      <c r="D35" s="7" t="s">
        <v>303</v>
      </c>
      <c r="E35" s="9">
        <v>44.86</v>
      </c>
      <c r="F35" s="9">
        <v>16.2</v>
      </c>
      <c r="G35" s="9">
        <v>14</v>
      </c>
      <c r="H35" s="9">
        <v>0.31208203299999998</v>
      </c>
      <c r="I35" s="7" t="s">
        <v>248</v>
      </c>
      <c r="J35" s="7"/>
      <c r="K35" s="7" t="s">
        <v>233</v>
      </c>
      <c r="L35" s="10" t="s">
        <v>308</v>
      </c>
      <c r="M35" s="10" t="s">
        <v>261</v>
      </c>
      <c r="N35" s="7" t="s">
        <v>246</v>
      </c>
      <c r="O35" s="7" t="s">
        <v>241</v>
      </c>
      <c r="P35" s="7"/>
      <c r="Q35" s="7"/>
      <c r="R35" s="7"/>
      <c r="S35" s="7"/>
      <c r="T35" s="7"/>
      <c r="U35" s="7"/>
      <c r="V35" s="7"/>
      <c r="W35" s="7"/>
      <c r="X35" s="7"/>
      <c r="Y35" s="7"/>
      <c r="Z35" s="7"/>
      <c r="AA35" s="7"/>
      <c r="AB35" s="7"/>
      <c r="AC35" s="7"/>
    </row>
    <row r="36" spans="1:29" ht="15.5" x14ac:dyDescent="0.35">
      <c r="A36" s="7" t="s">
        <v>119</v>
      </c>
      <c r="B36" s="7" t="s">
        <v>120</v>
      </c>
      <c r="C36" s="11">
        <v>45887</v>
      </c>
      <c r="D36" s="7" t="s">
        <v>303</v>
      </c>
      <c r="E36" s="9">
        <v>44.33</v>
      </c>
      <c r="F36" s="9">
        <v>17.3</v>
      </c>
      <c r="G36" s="9">
        <v>14</v>
      </c>
      <c r="H36" s="9">
        <v>0.31581321899999998</v>
      </c>
      <c r="I36" s="7" t="s">
        <v>232</v>
      </c>
      <c r="J36" s="7"/>
      <c r="K36" s="7" t="s">
        <v>233</v>
      </c>
      <c r="L36" s="10" t="s">
        <v>309</v>
      </c>
      <c r="M36" s="10" t="s">
        <v>240</v>
      </c>
      <c r="N36" s="7" t="s">
        <v>236</v>
      </c>
      <c r="O36" s="7" t="s">
        <v>241</v>
      </c>
      <c r="P36" s="7"/>
      <c r="Q36" s="7"/>
      <c r="R36" s="7"/>
      <c r="S36" s="7"/>
      <c r="T36" s="7"/>
      <c r="U36" s="7"/>
      <c r="V36" s="7"/>
      <c r="W36" s="7"/>
      <c r="X36" s="7"/>
      <c r="Y36" s="7"/>
      <c r="Z36" s="7"/>
      <c r="AA36" s="7"/>
      <c r="AB36" s="7"/>
      <c r="AC36" s="7"/>
    </row>
    <row r="37" spans="1:29" ht="15.5" x14ac:dyDescent="0.35">
      <c r="A37" s="7" t="s">
        <v>55</v>
      </c>
      <c r="B37" s="7" t="s">
        <v>56</v>
      </c>
      <c r="C37" s="11">
        <v>45887</v>
      </c>
      <c r="D37" s="7" t="s">
        <v>303</v>
      </c>
      <c r="E37" s="9">
        <v>46.92</v>
      </c>
      <c r="F37" s="9">
        <v>16.100000000000001</v>
      </c>
      <c r="G37" s="9">
        <v>15</v>
      </c>
      <c r="H37" s="9">
        <v>0.31969309460000001</v>
      </c>
      <c r="I37" s="7" t="s">
        <v>248</v>
      </c>
      <c r="J37" s="7"/>
      <c r="K37" s="7" t="s">
        <v>233</v>
      </c>
      <c r="L37" s="10" t="s">
        <v>310</v>
      </c>
      <c r="M37" s="10" t="s">
        <v>235</v>
      </c>
      <c r="N37" s="7" t="s">
        <v>246</v>
      </c>
      <c r="O37" s="7" t="s">
        <v>241</v>
      </c>
      <c r="P37" s="7"/>
      <c r="Q37" s="7"/>
      <c r="R37" s="7"/>
      <c r="S37" s="7"/>
      <c r="T37" s="7"/>
      <c r="U37" s="7"/>
      <c r="V37" s="7"/>
      <c r="W37" s="7"/>
      <c r="X37" s="7"/>
      <c r="Y37" s="7"/>
      <c r="Z37" s="7"/>
      <c r="AA37" s="7"/>
      <c r="AB37" s="7"/>
      <c r="AC37" s="7"/>
    </row>
    <row r="38" spans="1:29" ht="15.5" x14ac:dyDescent="0.35">
      <c r="A38" s="7" t="s">
        <v>131</v>
      </c>
      <c r="B38" s="7" t="s">
        <v>132</v>
      </c>
      <c r="C38" s="11">
        <v>45887</v>
      </c>
      <c r="D38" s="7" t="s">
        <v>303</v>
      </c>
      <c r="E38" s="9">
        <v>44.5</v>
      </c>
      <c r="F38" s="9">
        <v>14.5</v>
      </c>
      <c r="G38" s="9">
        <v>22.3</v>
      </c>
      <c r="H38" s="9">
        <v>0.50112359549999996</v>
      </c>
      <c r="I38" s="7" t="s">
        <v>232</v>
      </c>
      <c r="J38" s="7"/>
      <c r="K38" s="7" t="s">
        <v>233</v>
      </c>
      <c r="L38" s="7" t="s">
        <v>311</v>
      </c>
      <c r="M38" s="10" t="s">
        <v>245</v>
      </c>
      <c r="N38" s="7" t="s">
        <v>236</v>
      </c>
      <c r="O38" s="7" t="s">
        <v>312</v>
      </c>
      <c r="P38" s="7" t="s">
        <v>313</v>
      </c>
      <c r="Q38" s="7" t="s">
        <v>314</v>
      </c>
      <c r="R38" s="7"/>
      <c r="S38" s="7"/>
      <c r="T38" s="7"/>
      <c r="U38" s="7"/>
      <c r="V38" s="7"/>
      <c r="W38" s="7"/>
      <c r="X38" s="7"/>
      <c r="Y38" s="7"/>
      <c r="Z38" s="7"/>
      <c r="AA38" s="7"/>
      <c r="AB38" s="7"/>
      <c r="AC38" s="7"/>
    </row>
    <row r="39" spans="1:29" ht="15.5" x14ac:dyDescent="0.35">
      <c r="A39" s="7" t="s">
        <v>164</v>
      </c>
      <c r="B39" s="7" t="s">
        <v>165</v>
      </c>
      <c r="C39" s="11">
        <v>45888</v>
      </c>
      <c r="D39" s="7" t="s">
        <v>303</v>
      </c>
      <c r="E39" s="9">
        <v>44.75</v>
      </c>
      <c r="F39" s="9">
        <v>14.7</v>
      </c>
      <c r="G39" s="9">
        <v>17.2</v>
      </c>
      <c r="H39" s="9">
        <v>0.38435754189999999</v>
      </c>
      <c r="I39" s="7" t="s">
        <v>232</v>
      </c>
      <c r="J39" s="7"/>
      <c r="K39" s="7" t="s">
        <v>255</v>
      </c>
      <c r="L39" s="10" t="s">
        <v>315</v>
      </c>
      <c r="M39" s="10" t="s">
        <v>261</v>
      </c>
      <c r="N39" s="7" t="s">
        <v>246</v>
      </c>
      <c r="O39" s="7" t="s">
        <v>268</v>
      </c>
      <c r="P39" s="7"/>
      <c r="Q39" s="7" t="s">
        <v>316</v>
      </c>
      <c r="R39" s="7"/>
      <c r="S39" s="7"/>
      <c r="T39" s="7"/>
      <c r="U39" s="7"/>
      <c r="V39" s="7"/>
      <c r="W39" s="7"/>
      <c r="X39" s="7"/>
      <c r="Y39" s="7"/>
      <c r="Z39" s="7"/>
      <c r="AA39" s="7"/>
      <c r="AB39" s="7"/>
      <c r="AC39" s="7"/>
    </row>
    <row r="40" spans="1:29" ht="15.5" x14ac:dyDescent="0.35">
      <c r="A40" s="7" t="s">
        <v>17</v>
      </c>
      <c r="B40" s="7" t="s">
        <v>18</v>
      </c>
      <c r="C40" s="11">
        <v>45888</v>
      </c>
      <c r="D40" s="7" t="s">
        <v>303</v>
      </c>
      <c r="E40" s="9">
        <v>45.57</v>
      </c>
      <c r="F40" s="9">
        <v>15</v>
      </c>
      <c r="G40" s="9">
        <v>14.4</v>
      </c>
      <c r="H40" s="9">
        <v>0.3159973667</v>
      </c>
      <c r="I40" s="7" t="s">
        <v>232</v>
      </c>
      <c r="J40" s="7"/>
      <c r="K40" s="7" t="s">
        <v>255</v>
      </c>
      <c r="L40" s="10" t="s">
        <v>317</v>
      </c>
      <c r="M40" s="10" t="s">
        <v>243</v>
      </c>
      <c r="N40" s="7" t="s">
        <v>246</v>
      </c>
      <c r="O40" s="7" t="s">
        <v>292</v>
      </c>
      <c r="P40" s="7"/>
      <c r="Q40" s="7" t="s">
        <v>318</v>
      </c>
      <c r="R40" s="7"/>
      <c r="S40" s="7"/>
      <c r="T40" s="7"/>
      <c r="U40" s="7"/>
      <c r="V40" s="7"/>
      <c r="W40" s="7"/>
      <c r="X40" s="7"/>
      <c r="Y40" s="7"/>
      <c r="Z40" s="7"/>
      <c r="AA40" s="7"/>
      <c r="AB40" s="7"/>
      <c r="AC40" s="7"/>
    </row>
    <row r="41" spans="1:29" ht="15.5" x14ac:dyDescent="0.35">
      <c r="A41" s="7" t="s">
        <v>22</v>
      </c>
      <c r="B41" s="7" t="s">
        <v>23</v>
      </c>
      <c r="C41" s="11">
        <v>45888</v>
      </c>
      <c r="D41" s="7" t="s">
        <v>303</v>
      </c>
      <c r="E41" s="9">
        <v>42.99</v>
      </c>
      <c r="F41" s="9">
        <v>13.8</v>
      </c>
      <c r="G41" s="9">
        <v>24.4</v>
      </c>
      <c r="H41" s="9">
        <v>0.56757385439999997</v>
      </c>
      <c r="I41" s="7" t="s">
        <v>232</v>
      </c>
      <c r="J41" s="7"/>
      <c r="K41" s="7" t="s">
        <v>233</v>
      </c>
      <c r="L41" s="10" t="s">
        <v>319</v>
      </c>
      <c r="M41" s="10" t="s">
        <v>235</v>
      </c>
      <c r="N41" s="7" t="s">
        <v>236</v>
      </c>
      <c r="O41" s="7" t="s">
        <v>241</v>
      </c>
      <c r="P41" s="7"/>
      <c r="Q41" s="7"/>
      <c r="R41" s="7"/>
      <c r="S41" s="7"/>
      <c r="T41" s="7"/>
      <c r="U41" s="7"/>
      <c r="V41" s="7"/>
      <c r="W41" s="7"/>
      <c r="X41" s="7"/>
      <c r="Y41" s="7"/>
      <c r="Z41" s="7"/>
      <c r="AA41" s="7"/>
      <c r="AB41" s="7"/>
      <c r="AC41" s="7"/>
    </row>
    <row r="42" spans="1:29" ht="15.5" x14ac:dyDescent="0.35">
      <c r="A42" s="7" t="s">
        <v>148</v>
      </c>
      <c r="B42" s="7" t="s">
        <v>149</v>
      </c>
      <c r="C42" s="11">
        <v>45888</v>
      </c>
      <c r="D42" s="7" t="s">
        <v>303</v>
      </c>
      <c r="E42" s="9">
        <v>43.08</v>
      </c>
      <c r="F42" s="9">
        <v>14.2</v>
      </c>
      <c r="G42" s="9">
        <v>19.399999999999999</v>
      </c>
      <c r="H42" s="9">
        <v>0.4503249768</v>
      </c>
      <c r="I42" s="7" t="s">
        <v>232</v>
      </c>
      <c r="J42" s="7"/>
      <c r="K42" s="7" t="s">
        <v>233</v>
      </c>
      <c r="L42" s="13" t="s">
        <v>320</v>
      </c>
      <c r="M42" s="13" t="s">
        <v>245</v>
      </c>
      <c r="N42" s="7" t="s">
        <v>236</v>
      </c>
      <c r="O42" s="7" t="s">
        <v>241</v>
      </c>
      <c r="P42" s="7"/>
      <c r="Q42" s="7"/>
      <c r="R42" s="7"/>
      <c r="S42" s="7"/>
      <c r="T42" s="7"/>
      <c r="U42" s="7"/>
      <c r="V42" s="7"/>
      <c r="W42" s="7"/>
      <c r="X42" s="7"/>
      <c r="Y42" s="7"/>
      <c r="Z42" s="7"/>
      <c r="AA42" s="7"/>
      <c r="AB42" s="7"/>
      <c r="AC42" s="7"/>
    </row>
    <row r="43" spans="1:29" ht="15.5" x14ac:dyDescent="0.35">
      <c r="A43" s="7" t="s">
        <v>82</v>
      </c>
      <c r="B43" s="7" t="s">
        <v>83</v>
      </c>
      <c r="C43" s="11">
        <v>45888</v>
      </c>
      <c r="D43" s="7" t="s">
        <v>303</v>
      </c>
      <c r="E43" s="9">
        <v>41.77</v>
      </c>
      <c r="F43" s="9">
        <v>11.5</v>
      </c>
      <c r="G43" s="9">
        <v>19.600000000000001</v>
      </c>
      <c r="H43" s="9">
        <v>0.469236294</v>
      </c>
      <c r="I43" s="7" t="s">
        <v>232</v>
      </c>
      <c r="J43" s="7"/>
      <c r="K43" s="7" t="s">
        <v>233</v>
      </c>
      <c r="L43" s="7" t="s">
        <v>321</v>
      </c>
      <c r="M43" s="10" t="s">
        <v>243</v>
      </c>
      <c r="N43" s="7" t="s">
        <v>236</v>
      </c>
      <c r="O43" s="7" t="s">
        <v>241</v>
      </c>
      <c r="P43" s="7" t="s">
        <v>322</v>
      </c>
      <c r="Q43" s="7"/>
      <c r="R43" s="7"/>
      <c r="S43" s="7"/>
      <c r="T43" s="7"/>
      <c r="U43" s="7"/>
      <c r="V43" s="7"/>
      <c r="W43" s="7"/>
      <c r="X43" s="7"/>
      <c r="Y43" s="7"/>
      <c r="Z43" s="7"/>
      <c r="AA43" s="7"/>
      <c r="AB43" s="7"/>
      <c r="AC43" s="7"/>
    </row>
    <row r="44" spans="1:29" ht="15.5" x14ac:dyDescent="0.35">
      <c r="A44" s="7" t="s">
        <v>185</v>
      </c>
      <c r="B44" s="7" t="s">
        <v>186</v>
      </c>
      <c r="C44" s="11">
        <v>45888</v>
      </c>
      <c r="D44" s="7" t="s">
        <v>303</v>
      </c>
      <c r="E44" s="9">
        <v>45.73</v>
      </c>
      <c r="F44" s="9">
        <v>13.9</v>
      </c>
      <c r="G44" s="9">
        <v>20.2</v>
      </c>
      <c r="H44" s="9">
        <v>0.44172315769999998</v>
      </c>
      <c r="I44" s="7" t="s">
        <v>232</v>
      </c>
      <c r="J44" s="7"/>
      <c r="K44" s="7" t="s">
        <v>255</v>
      </c>
      <c r="L44" s="7" t="s">
        <v>323</v>
      </c>
      <c r="M44" s="10" t="s">
        <v>261</v>
      </c>
      <c r="N44" s="7" t="s">
        <v>236</v>
      </c>
      <c r="O44" s="7" t="s">
        <v>283</v>
      </c>
      <c r="P44" s="7" t="s">
        <v>324</v>
      </c>
      <c r="Q44" s="7" t="s">
        <v>325</v>
      </c>
      <c r="R44" s="7"/>
      <c r="S44" s="7"/>
      <c r="T44" s="7"/>
      <c r="U44" s="7"/>
      <c r="V44" s="7"/>
      <c r="W44" s="7"/>
      <c r="X44" s="7"/>
      <c r="Y44" s="7"/>
      <c r="Z44" s="7"/>
      <c r="AA44" s="7"/>
      <c r="AB44" s="7"/>
      <c r="AC44" s="7"/>
    </row>
    <row r="45" spans="1:29" ht="15.5" x14ac:dyDescent="0.35">
      <c r="A45" s="7" t="s">
        <v>78</v>
      </c>
      <c r="B45" s="7" t="s">
        <v>79</v>
      </c>
      <c r="C45" s="11">
        <v>45888</v>
      </c>
      <c r="D45" s="7" t="s">
        <v>303</v>
      </c>
      <c r="E45" s="9">
        <v>45.02</v>
      </c>
      <c r="F45" s="9">
        <v>15</v>
      </c>
      <c r="G45" s="9">
        <v>19.3</v>
      </c>
      <c r="H45" s="9">
        <v>0.42869835630000003</v>
      </c>
      <c r="I45" s="7" t="s">
        <v>232</v>
      </c>
      <c r="J45" s="7"/>
      <c r="K45" s="7" t="s">
        <v>233</v>
      </c>
      <c r="L45" s="10" t="s">
        <v>326</v>
      </c>
      <c r="M45" s="10" t="s">
        <v>243</v>
      </c>
      <c r="N45" s="7" t="s">
        <v>246</v>
      </c>
      <c r="O45" s="7" t="s">
        <v>241</v>
      </c>
      <c r="P45" s="7"/>
      <c r="Q45" s="7" t="s">
        <v>327</v>
      </c>
      <c r="R45" s="7"/>
      <c r="S45" s="7"/>
      <c r="T45" s="7"/>
      <c r="U45" s="7"/>
      <c r="V45" s="7"/>
      <c r="W45" s="7"/>
      <c r="X45" s="7"/>
      <c r="Y45" s="7"/>
      <c r="Z45" s="7"/>
      <c r="AA45" s="7"/>
      <c r="AB45" s="7"/>
      <c r="AC45" s="7"/>
    </row>
    <row r="46" spans="1:29" ht="12.5"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spans="1:29" ht="12.5" x14ac:dyDescent="0.2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row>
    <row r="48" spans="1:29" ht="12.5"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row>
    <row r="49" spans="1:29" ht="12.5"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spans="1:29" ht="12.5"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row>
    <row r="51" spans="1:29" ht="12.5" x14ac:dyDescent="0.2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row>
    <row r="52" spans="1:29" ht="12.5" x14ac:dyDescent="0.2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row>
    <row r="53" spans="1:29" ht="12.5" x14ac:dyDescent="0.2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row>
    <row r="54" spans="1:29" ht="12.5" x14ac:dyDescent="0.2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row>
    <row r="55" spans="1:29" ht="12.5"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row>
    <row r="56" spans="1:29" ht="12.5" x14ac:dyDescent="0.2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row>
    <row r="57" spans="1:29" ht="12.5"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spans="1:29" ht="12.5"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row>
    <row r="59" spans="1:29" ht="12.5"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row>
    <row r="60" spans="1:29" ht="12.5" x14ac:dyDescent="0.2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row>
    <row r="61" spans="1:29" ht="12.5"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row>
    <row r="62" spans="1:29" ht="12.5"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row>
    <row r="63" spans="1:29" ht="12.5"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row>
    <row r="64" spans="1:29" ht="12.5"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row>
    <row r="65" spans="1:29" ht="12.5"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row>
    <row r="66" spans="1:29" ht="12.5"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row>
    <row r="67" spans="1:29" ht="12.5"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row>
    <row r="68" spans="1:29" ht="12.5"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row>
    <row r="69" spans="1:29" ht="12.5"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row>
    <row r="70" spans="1:29" ht="12.5"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row>
    <row r="71" spans="1:29" ht="12.5"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row>
    <row r="72" spans="1:29" ht="12.5"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row>
    <row r="73" spans="1:29" ht="12.5"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row>
    <row r="74" spans="1:29" ht="12.5"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row>
    <row r="75" spans="1:29" ht="12.5"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row>
    <row r="76" spans="1:29" ht="12.5"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row>
    <row r="77" spans="1:29" ht="12.5"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row>
    <row r="78" spans="1:29" ht="12.5"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row>
    <row r="79" spans="1:29" ht="12.5"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row>
    <row r="80" spans="1:29" ht="12.5"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row>
    <row r="81" spans="1:29" ht="12.5"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row>
    <row r="82" spans="1:29" ht="12.5"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row>
    <row r="83" spans="1:29" ht="12.5"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row>
    <row r="84" spans="1:29" ht="12.5"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row>
    <row r="85" spans="1:29" ht="12.5"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row>
    <row r="86" spans="1:29" ht="12.5"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row>
    <row r="87" spans="1:29" ht="12.5"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row>
    <row r="88" spans="1:29" ht="12.5"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row>
    <row r="89" spans="1:29" ht="12.5"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row>
    <row r="90" spans="1:29" ht="12.5"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row>
    <row r="91" spans="1:29" ht="12.5"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row>
    <row r="92" spans="1:29" ht="12.5"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row>
    <row r="93" spans="1:29" ht="12.5"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row>
    <row r="94" spans="1:29" ht="12.5"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row>
    <row r="95" spans="1:29" ht="12.5"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row>
    <row r="96" spans="1:29" ht="12.5"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row>
    <row r="97" spans="1:29" ht="12.5"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row>
    <row r="98" spans="1:29" ht="12.5"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row>
    <row r="99" spans="1:29" ht="12.5"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row>
    <row r="100" spans="1:29" ht="12.5"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spans="1:29" ht="12.5"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spans="1:29" ht="12.5"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spans="1:29" ht="12.5"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spans="1:29" ht="12.5"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spans="1:29" ht="12.5"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spans="1:29" ht="12.5"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spans="1:29" ht="12.5"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spans="1:29" ht="12.5"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spans="1:29" ht="12.5"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spans="1:29" ht="12.5"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spans="1:29" ht="12.5"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spans="1:29" ht="12.5"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spans="1:29" ht="12.5"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spans="1:29" ht="12.5"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spans="1:29" ht="12.5"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spans="1:29" ht="12.5"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spans="1:29" ht="12.5"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spans="1:29" ht="12.5"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spans="1:29" ht="12.5"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spans="1:29" ht="12.5"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spans="1:29" ht="12.5"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spans="1:29" ht="12.5"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spans="1:29" ht="12.5"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spans="1:29" ht="12.5"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spans="1:29" ht="12.5"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spans="1:29" ht="12.5"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spans="1:29" ht="12.5"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spans="1:29" ht="12.5"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spans="1:29" ht="12.5"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spans="1:29" ht="12.5"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spans="1:29" ht="12.5"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spans="1:29" ht="12.5"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spans="1:29" ht="12.5"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spans="1:29" ht="12.5"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spans="1:29" ht="12.5"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spans="1:29" ht="12.5"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spans="1:29" ht="12.5"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spans="1:29" ht="12.5"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spans="1:29" ht="12.5"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spans="1:29" ht="12.5"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spans="1:29" ht="12.5"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spans="1:29" ht="12.5"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spans="1:29" ht="12.5"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spans="1:29" ht="12.5"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spans="1:29" ht="12.5"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spans="1:29" ht="12.5"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spans="1:29" ht="12.5"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spans="1:29" ht="12.5"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spans="1:29" ht="12.5"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spans="1:29" ht="12.5"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spans="1:29" ht="12.5"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spans="1:29" ht="12.5"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spans="1:29" ht="12.5"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spans="1:29" ht="12.5"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spans="1:29" ht="12.5"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spans="1:29" ht="12.5"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spans="1:29" ht="12.5"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spans="1:29" ht="12.5"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spans="1:29" ht="12.5"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spans="1:29" ht="12.5"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spans="1:29" ht="12.5"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spans="1:29" ht="12.5"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spans="1:29" ht="12.5"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spans="1:29" ht="12.5"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spans="1:29" ht="12.5"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spans="1:29" ht="12.5"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spans="1:29" ht="12.5"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spans="1:29" ht="12.5"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spans="1:29" ht="12.5"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spans="1:29" ht="12.5"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spans="1:29" ht="12.5"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spans="1:29" ht="12.5"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spans="1:29" ht="12.5"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spans="1:29" ht="12.5"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spans="1:29" ht="12.5"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spans="1:29" ht="12.5"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spans="1:29" ht="12.5"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spans="1:29" ht="12.5"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spans="1:29" ht="12.5"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spans="1:29" ht="12.5"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spans="1:29" ht="12.5"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spans="1:29" ht="12.5"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spans="1:29" ht="12.5"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spans="1:29" ht="12.5"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spans="1:29" ht="12.5"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spans="1:29" ht="12.5"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spans="1:29" ht="12.5"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spans="1:29" ht="12.5"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spans="1:29" ht="12.5"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spans="1:29" ht="12.5"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spans="1:29" ht="12.5"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spans="1:29" ht="12.5"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spans="1:29" ht="12.5"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spans="1:29" ht="12.5"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spans="1:29" ht="12.5"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spans="1:29" ht="12.5"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spans="1:29" ht="12.5"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spans="1:29" ht="12.5"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spans="1:29" ht="12.5"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spans="1:29" ht="12.5"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spans="1:29" ht="12.5"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spans="1:29" ht="12.5"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spans="1:29" ht="12.5"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spans="1:29" ht="12.5"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spans="1:29" ht="12.5"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spans="1:29" ht="12.5"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spans="1:29" ht="12.5"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spans="1:29" ht="12.5"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spans="1:29" ht="12.5"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spans="1:29" ht="12.5"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spans="1:29" ht="12.5"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spans="1:29" ht="12.5"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spans="1:29" ht="12.5"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spans="1:29" ht="12.5"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spans="1:29" ht="12.5"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spans="1:29" ht="12.5"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spans="1:29" ht="12.5"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spans="1:29" ht="12.5"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spans="1:29" ht="12.5"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spans="1:29" ht="12.5"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spans="1:29" ht="12.5"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spans="1:29" ht="12.5"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spans="1:29" ht="12.5"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spans="1:29" ht="12.5"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spans="1:29" ht="12.5"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spans="1:29" ht="12.5"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spans="1:29" ht="12.5"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spans="1:29" ht="12.5"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spans="1:29" ht="12.5"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spans="1:29" ht="12.5"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spans="1:29" ht="12.5"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spans="1:29" ht="12.5"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spans="1:29" ht="12.5"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spans="1:29" ht="12.5"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spans="1:29" ht="12.5"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spans="1:29" ht="12.5"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spans="1:29" ht="12.5"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spans="1:29" ht="12.5"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spans="1:29" ht="12.5"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spans="1:29" ht="12.5"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spans="1:29" ht="12.5"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spans="1:29" ht="12.5"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spans="1:29" ht="12.5"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spans="1:29" ht="12.5"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spans="1:29" ht="12.5"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spans="1:29" ht="12.5"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spans="1:29" ht="12.5"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spans="1:29" ht="12.5"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spans="1:29" ht="12.5"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spans="1:29" ht="12.5"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spans="1:29" ht="12.5"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spans="1:29" ht="12.5"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spans="1:29" ht="12.5"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spans="1:29" ht="12.5"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spans="1:29" ht="12.5"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spans="1:29" ht="12.5"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spans="1:29" ht="12.5"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spans="1:29" ht="12.5"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spans="1:29" ht="12.5"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spans="1:29" ht="12.5"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spans="1:29" ht="12.5"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spans="1:29" ht="12.5"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spans="1:29" ht="12.5"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spans="1:29" ht="12.5"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spans="1:29" ht="12.5"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spans="1:29" ht="12.5"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spans="1:29" ht="12.5"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spans="1:29" ht="12.5"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spans="1:29" ht="12.5"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spans="1:29" ht="12.5"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spans="1:29" ht="12.5"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spans="1:29" ht="12.5"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spans="1:29" ht="12.5"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spans="1:29" ht="12.5"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spans="1:29" ht="12.5"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spans="1:29" ht="12.5"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spans="1:29" ht="12.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spans="1:29" ht="12.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spans="1:29" ht="12.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spans="1:29" ht="12.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spans="1:29" ht="12.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spans="1:29" ht="12.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spans="1:29" ht="12.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spans="1:29" ht="12.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spans="1:29" ht="12.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spans="1:29" ht="12.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spans="1:29" ht="12.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spans="1:29" ht="12.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spans="1:29" ht="12.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spans="1:29" ht="12.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spans="1:29" ht="12.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spans="1:29" ht="12.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spans="1:29" ht="12.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spans="1:29" ht="12.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spans="1:29" ht="12.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spans="1:29" ht="12.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spans="1:29" ht="12.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spans="1:29" ht="12.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spans="1:29" ht="12.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spans="1:29" ht="12.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spans="1:29" ht="12.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spans="1:29" ht="12.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spans="1:29" ht="12.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spans="1:29" ht="12.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spans="1:29" ht="12.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spans="1:29" ht="12.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spans="1:29" ht="12.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spans="1:29" ht="12.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spans="1:29" ht="12.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spans="1:29" ht="12.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spans="1:29" ht="12.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spans="1:29" ht="12.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spans="1:29" ht="12.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spans="1:29" ht="12.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spans="1:29" ht="12.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spans="1:29" ht="12.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spans="1:29" ht="12.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spans="1:29" ht="12.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spans="1:29" ht="12.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spans="1:29" ht="12.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spans="1:29" ht="12.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spans="1:29" ht="12.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spans="1:29" ht="12.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spans="1:29" ht="12.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spans="1:29" ht="12.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spans="1:29" ht="12.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spans="1:29" ht="12.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spans="1:29" ht="12.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spans="1:29" ht="12.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spans="1:29" ht="12.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spans="1:29" ht="12.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spans="1:29" ht="12.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spans="1:29" ht="12.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spans="1:29" ht="12.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spans="1:29" ht="12.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spans="1:29" ht="12.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spans="1:29" ht="12.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spans="1:29" ht="12.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spans="1:29" ht="12.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spans="1:29" ht="12.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spans="1:29" ht="12.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spans="1:29" ht="12.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spans="1:29" ht="12.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spans="1:29" ht="12.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spans="1:29" ht="12.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spans="1:29" ht="12.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spans="1:29" ht="12.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spans="1:29" ht="12.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spans="1:29" ht="12.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spans="1:29" ht="12.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spans="1:29" ht="12.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spans="1:29" ht="12.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spans="1:29" ht="12.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spans="1:29" ht="12.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spans="1:29" ht="12.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spans="1:29" ht="12.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spans="1:29" ht="12.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spans="1:29" ht="12.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spans="1:29" ht="12.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spans="1:29" ht="12.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spans="1:29" ht="12.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spans="1:29" ht="12.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spans="1:29" ht="12.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spans="1:29" ht="12.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spans="1:29" ht="12.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spans="1:29" ht="12.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spans="1:29" ht="12.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spans="1:29" ht="12.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spans="1:29" ht="12.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spans="1:29" ht="12.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spans="1:29" ht="12.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spans="1:29" ht="12.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spans="1:29" ht="12.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spans="1:29" ht="12.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spans="1:29" ht="12.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spans="1:29" ht="12.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spans="1:29" ht="12.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spans="1:29" ht="12.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spans="1:29" ht="12.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spans="1:29" ht="12.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spans="1:29" ht="12.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spans="1:29" ht="12.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spans="1:29" ht="12.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spans="1:29" ht="12.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spans="1:29" ht="12.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spans="1:29" ht="12.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spans="1:29" ht="12.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spans="1:29" ht="12.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spans="1:29" ht="12.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spans="1:29" ht="12.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spans="1:29" ht="12.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spans="1:29" ht="12.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spans="1:29" ht="12.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spans="1:29" ht="12.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spans="1:29" ht="12.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spans="1:29" ht="12.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spans="1:29" ht="12.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spans="1:29" ht="12.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spans="1:29" ht="12.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spans="1:29" ht="12.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spans="1:29" ht="12.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spans="1:29" ht="12.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spans="1:29" ht="12.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spans="1:29" ht="12.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spans="1:29" ht="12.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spans="1:29" ht="12.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spans="1:29" ht="12.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spans="1:29" ht="12.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spans="1:29" ht="12.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spans="1:29" ht="12.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spans="1:29" ht="12.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spans="1:29" ht="12.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spans="1:29" ht="12.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spans="1:29" ht="12.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spans="1:29" ht="12.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spans="1:29" ht="12.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spans="1:29" ht="12.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spans="1:29" ht="12.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spans="1:29" ht="12.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spans="1:29" ht="12.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spans="1:29" ht="12.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spans="1:29" ht="12.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spans="1:29" ht="12.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spans="1:29" ht="12.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spans="1:29" ht="12.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spans="1:29" ht="12.5"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spans="1:29" ht="12.5"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spans="1:29" ht="12.5"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spans="1:29" ht="12.5"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spans="1:29" ht="12.5"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spans="1:29" ht="12.5"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spans="1:29" ht="12.5"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spans="1:29" ht="12.5"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spans="1:29" ht="12.5"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spans="1:29" ht="12.5"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spans="1:29" ht="12.5"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spans="1:29" ht="12.5"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spans="1:29" ht="12.5"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spans="1:29" ht="12.5"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spans="1:29" ht="12.5"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spans="1:29" ht="12.5"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spans="1:29" ht="12.5"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spans="1:29" ht="12.5"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spans="1:29" ht="12.5"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spans="1:29" ht="12.5"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spans="1:29" ht="12.5"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spans="1:29" ht="12.5"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spans="1:29" ht="12.5"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spans="1:29" ht="12.5"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spans="1:29" ht="12.5"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spans="1:29" ht="12.5"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spans="1:29" ht="12.5"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spans="1:29" ht="12.5"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spans="1:29" ht="12.5"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spans="1:29" ht="12.5"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spans="1:29" ht="12.5"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spans="1:29" ht="12.5"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spans="1:29" ht="12.5"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spans="1:29" ht="12.5"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spans="1:29" ht="12.5"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spans="1:29" ht="12.5"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spans="1:29" ht="12.5"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spans="1:29" ht="12.5"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spans="1:29" ht="12.5"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spans="1:29" ht="12.5"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spans="1:29" ht="12.5"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spans="1:29" ht="12.5"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spans="1:29" ht="12.5"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spans="1:29" ht="12.5"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spans="1:29" ht="12.5"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spans="1:29" ht="12.5"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spans="1:29" ht="12.5"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spans="1:29" ht="12.5"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spans="1:29" ht="12.5"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spans="1:29" ht="12.5"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spans="1:29" ht="12.5"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spans="1:29" ht="12.5"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spans="1:29" ht="12.5"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spans="1:29" ht="12.5"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spans="1:29" ht="12.5"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spans="1:29" ht="12.5"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spans="1:29" ht="12.5"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spans="1:29" ht="12.5"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spans="1:29" ht="12.5"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spans="1:29" ht="12.5"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spans="1:29" ht="12.5"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spans="1:29" ht="12.5"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spans="1:29" ht="12.5"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spans="1:29" ht="12.5"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spans="1:29" ht="12.5"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spans="1:29" ht="12.5"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spans="1:29" ht="12.5"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spans="1:29" ht="12.5"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spans="1:29" ht="12.5"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spans="1:29" ht="12.5"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spans="1:29" ht="12.5"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spans="1:29" ht="12.5"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spans="1:29" ht="12.5"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spans="1:29" ht="12.5"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spans="1:29" ht="12.5"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spans="1:29" ht="12.5"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spans="1:29" ht="12.5"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spans="1:29" ht="12.5"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spans="1:29" ht="12.5"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spans="1:29" ht="12.5"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spans="1:29" ht="12.5"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spans="1:29" ht="12.5"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spans="1:29" ht="12.5"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spans="1:29" ht="12.5"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spans="1:29" ht="12.5"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spans="1:29" ht="12.5"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spans="1:29" ht="12.5"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spans="1:29" ht="12.5"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spans="1:29" ht="12.5"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spans="1:29" ht="12.5"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spans="1:29" ht="12.5"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spans="1:29" ht="12.5"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spans="1:29" ht="12.5"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spans="1:29" ht="12.5"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spans="1:29" ht="12.5"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spans="1:29" ht="12.5"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spans="1:29" ht="12.5"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spans="1:29" ht="12.5"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spans="1:29" ht="12.5"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spans="1:29" ht="12.5"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spans="1:29" ht="12.5"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spans="1:29" ht="12.5"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spans="1:29" ht="12.5"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spans="1:29" ht="12.5"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spans="1:29" ht="12.5"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spans="1:29" ht="12.5"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spans="1:29" ht="12.5"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spans="1:29" ht="12.5"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spans="1:29" ht="12.5"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spans="1:29" ht="12.5"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spans="1:29" ht="12.5"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spans="1:29" ht="12.5"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spans="1:29" ht="12.5"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spans="1:29" ht="12.5"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spans="1:29" ht="12.5"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spans="1:29" ht="12.5"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spans="1:29" ht="12.5"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spans="1:29" ht="12.5"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spans="1:29" ht="12.5"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spans="1:29" ht="12.5"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spans="1:29" ht="12.5"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spans="1:29" ht="12.5"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spans="1:29" ht="12.5"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spans="1:29" ht="12.5"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spans="1:29" ht="12.5"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spans="1:29" ht="12.5"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spans="1:29" ht="12.5"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spans="1:29" ht="12.5"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spans="1:29" ht="12.5"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spans="1:29" ht="12.5"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spans="1:29" ht="12.5"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spans="1:29" ht="12.5"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spans="1:29" ht="12.5"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spans="1:29" ht="12.5"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spans="1:29" ht="12.5"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spans="1:29" ht="12.5"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spans="1:29" ht="12.5"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spans="1:29" ht="12.5"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spans="1:29" ht="12.5"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spans="1:29" ht="12.5"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spans="1:29" ht="12.5"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spans="1:29" ht="12.5"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spans="1:29" ht="12.5"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spans="1:29" ht="12.5"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spans="1:29" ht="12.5"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spans="1:29" ht="12.5"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spans="1:29" ht="12.5"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spans="1:29" ht="12.5"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spans="1:29" ht="12.5"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spans="1:29" ht="12.5"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spans="1:29" ht="12.5"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spans="1:29" ht="12.5"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spans="1:29" ht="12.5"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spans="1:29" ht="12.5"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spans="1:29" ht="12.5"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spans="1:29" ht="12.5"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spans="1:29" ht="12.5"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spans="1:29" ht="12.5"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spans="1:29" ht="12.5"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spans="1:29" ht="12.5"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spans="1:29" ht="12.5"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spans="1:29" ht="12.5"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spans="1:29" ht="12.5"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spans="1:29" ht="12.5"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spans="1:29" ht="12.5"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spans="1:29" ht="12.5"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spans="1:29" ht="12.5"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spans="1:29" ht="12.5"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spans="1:29" ht="12.5"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spans="1:29" ht="12.5"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spans="1:29" ht="12.5"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spans="1:29" ht="12.5"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spans="1:29" ht="12.5"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spans="1:29" ht="12.5"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spans="1:29" ht="12.5"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spans="1:29" ht="12.5"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spans="1:29" ht="12.5"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spans="1:29" ht="12.5"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spans="1:29" ht="12.5"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spans="1:29" ht="12.5"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spans="1:29" ht="12.5"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spans="1:29" ht="12.5"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spans="1:29" ht="12.5"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spans="1:29" ht="12.5"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spans="1:29" ht="12.5"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spans="1:29" ht="12.5"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spans="1:29" ht="12.5"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spans="1:29" ht="12.5"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spans="1:29" ht="12.5"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spans="1:29" ht="12.5"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spans="1:29" ht="12.5"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spans="1:29" ht="12.5"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spans="1:29" ht="12.5"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spans="1:29" ht="12.5"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spans="1:29" ht="12.5"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spans="1:29" ht="12.5"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spans="1:29" ht="12.5"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spans="1:29" ht="12.5"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spans="1:29" ht="12.5"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spans="1:29" ht="12.5"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spans="1:29" ht="12.5"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spans="1:29" ht="12.5"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spans="1:29" ht="12.5"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spans="1:29" ht="12.5"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spans="1:29" ht="12.5"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spans="1:29" ht="12.5"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spans="1:29" ht="12.5"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spans="1:29" ht="12.5"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spans="1:29" ht="12.5"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spans="1:29" ht="12.5"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spans="1:29" ht="12.5"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spans="1:29" ht="12.5"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spans="1:29" ht="12.5"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spans="1:29" ht="12.5"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spans="1:29" ht="12.5"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spans="1:29" ht="12.5"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spans="1:29" ht="12.5"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spans="1:29" ht="12.5"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spans="1:29" ht="12.5"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spans="1:29" ht="12.5"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spans="1:29" ht="12.5"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spans="1:29" ht="12.5"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spans="1:29" ht="12.5"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spans="1:29" ht="12.5"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spans="1:29" ht="12.5"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spans="1:29" ht="12.5"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spans="1:29" ht="12.5"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spans="1:29" ht="12.5"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spans="1:29" ht="12.5"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spans="1:29" ht="12.5"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spans="1:29" ht="12.5"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spans="1:29" ht="12.5"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spans="1:29" ht="12.5"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spans="1:29" ht="12.5"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spans="1:29" ht="12.5"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spans="1:29" ht="12.5"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spans="1:29" ht="12.5"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spans="1:29" ht="12.5"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spans="1:29" ht="12.5"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spans="1:29" ht="12.5"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spans="1:29" ht="12.5"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spans="1:29" ht="12.5"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spans="1:29" ht="12.5"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spans="1:29" ht="12.5"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spans="1:29" ht="12.5"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spans="1:29" ht="12.5"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spans="1:29" ht="12.5"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spans="1:29" ht="12.5"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spans="1:29" ht="12.5"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spans="1:29" ht="12.5"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spans="1:29" ht="12.5"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spans="1:29" ht="12.5"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spans="1:29" ht="12.5"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spans="1:29" ht="12.5"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spans="1:29" ht="12.5"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spans="1:29" ht="12.5"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spans="1:29" ht="12.5"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spans="1:29" ht="12.5"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spans="1:29" ht="12.5"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spans="1:29" ht="12.5"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spans="1:29" ht="12.5"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spans="1:29" ht="12.5"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spans="1:29" ht="12.5"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spans="1:29" ht="12.5"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spans="1:29" ht="12.5"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spans="1:29" ht="12.5"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spans="1:29" ht="12.5"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spans="1:29" ht="12.5"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spans="1:29" ht="12.5"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spans="1:29" ht="12.5"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spans="1:29" ht="12.5"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spans="1:29" ht="12.5"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spans="1:29" ht="12.5"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spans="1:29" ht="12.5"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spans="1:29" ht="12.5"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spans="1:29" ht="12.5"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spans="1:29" ht="12.5"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spans="1:29" ht="12.5"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spans="1:29" ht="12.5"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spans="1:29" ht="12.5"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spans="1:29" ht="12.5"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spans="1:29" ht="12.5"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spans="1:29" ht="12.5"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spans="1:29" ht="12.5"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spans="1:29" ht="12.5"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spans="1:29" ht="12.5"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spans="1:29" ht="12.5"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spans="1:29" ht="12.5"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spans="1:29" ht="12.5"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spans="1:29" ht="12.5"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spans="1:29" ht="12.5"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spans="1:29" ht="12.5"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spans="1:29" ht="12.5"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spans="1:29" ht="12.5"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spans="1:29" ht="12.5"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spans="1:29" ht="12.5"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spans="1:29" ht="12.5"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spans="1:29" ht="12.5"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spans="1:29" ht="12.5"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spans="1:29" ht="12.5"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spans="1:29" ht="12.5"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spans="1:29" ht="12.5"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spans="1:29" ht="12.5"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spans="1:29" ht="12.5"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spans="1:29" ht="12.5"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spans="1:29" ht="12.5"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spans="1:29" ht="12.5"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spans="1:29" ht="12.5"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spans="1:29" ht="12.5"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spans="1:29" ht="12.5"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spans="1:29" ht="12.5"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spans="1:29" ht="12.5"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spans="1:29" ht="12.5"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spans="1:29" ht="12.5"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spans="1:29" ht="12.5"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spans="1:29" ht="12.5"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spans="1:29" ht="12.5"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spans="1:29" ht="12.5"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spans="1:29" ht="12.5"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spans="1:29" ht="12.5"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spans="1:29" ht="12.5"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spans="1:29" ht="12.5"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spans="1:29" ht="12.5"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spans="1:29" ht="12.5"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spans="1:29" ht="12.5"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spans="1:29" ht="12.5"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spans="1:29" ht="12.5"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spans="1:29" ht="12.5"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spans="1:29" ht="12.5"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spans="1:29" ht="12.5"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spans="1:29" ht="12.5"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spans="1:29" ht="12.5"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spans="1:29" ht="12.5"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spans="1:29" ht="12.5"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spans="1:29" ht="12.5"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spans="1:29" ht="12.5"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spans="1:29" ht="12.5"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spans="1:29" ht="12.5"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spans="1:29" ht="12.5"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spans="1:29" ht="12.5"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spans="1:29" ht="12.5"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spans="1:29" ht="12.5"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spans="1:29" ht="12.5"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spans="1:29" ht="12.5"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spans="1:29" ht="12.5"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spans="1:29" ht="12.5"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spans="1:29" ht="12.5"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spans="1:29" ht="12.5"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spans="1:29" ht="12.5"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spans="1:29" ht="12.5"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spans="1:29" ht="12.5"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spans="1:29" ht="12.5"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spans="1:29" ht="12.5"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spans="1:29" ht="12.5"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spans="1:29" ht="12.5"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spans="1:29" ht="12.5"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spans="1:29" ht="12.5"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spans="1:29" ht="12.5"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spans="1:29" ht="12.5"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spans="1:29" ht="12.5"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spans="1:29" ht="12.5"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spans="1:29" ht="12.5"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spans="1:29" ht="12.5"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spans="1:29" ht="12.5"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spans="1:29" ht="12.5"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spans="1:29" ht="12.5"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spans="1:29" ht="12.5"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spans="1:29" ht="12.5"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spans="1:29" ht="12.5"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spans="1:29" ht="12.5"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spans="1:29" ht="12.5"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spans="1:29" ht="12.5"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spans="1:29" ht="12.5"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spans="1:29" ht="12.5"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spans="1:29" ht="12.5"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spans="1:29" ht="12.5"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spans="1:29" ht="12.5"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spans="1:29" ht="12.5"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spans="1:29" ht="12.5"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spans="1:29" ht="12.5"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spans="1:29" ht="12.5"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spans="1:29" ht="12.5"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spans="1:29" ht="12.5"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spans="1:29" ht="12.5"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spans="1:29" ht="12.5"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spans="1:29" ht="12.5"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spans="1:29" ht="12.5"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spans="1:29" ht="12.5"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spans="1:29" ht="12.5"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spans="1:29" ht="12.5"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spans="1:29" ht="12.5"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spans="1:29" ht="12.5"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spans="1:29" ht="12.5"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spans="1:29" ht="12.5"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spans="1:29" ht="12.5"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spans="1:29" ht="12.5"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spans="1:29" ht="12.5"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spans="1:29" ht="12.5"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spans="1:29" ht="12.5"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spans="1:29" ht="12.5"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spans="1:29" ht="12.5"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spans="1:29" ht="12.5"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spans="1:29" ht="12.5"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spans="1:29" ht="12.5"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spans="1:29" ht="12.5"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spans="1:29" ht="12.5"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spans="1:29" ht="12.5"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spans="1:29" ht="12.5"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spans="1:29" ht="12.5"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spans="1:29" ht="12.5"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spans="1:29" ht="12.5"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spans="1:29" ht="12.5"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spans="1:29" ht="12.5"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spans="1:29" ht="12.5"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spans="1:29" ht="12.5"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spans="1:29" ht="12.5"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spans="1:29" ht="12.5"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spans="1:29" ht="12.5"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spans="1:29" ht="12.5"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spans="1:29" ht="12.5"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spans="1:29" ht="12.5"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spans="1:29" ht="12.5"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spans="1:29" ht="12.5"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spans="1:29" ht="12.5"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spans="1:29" ht="12.5"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spans="1:29" ht="12.5"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spans="1:29" ht="12.5"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spans="1:29" ht="12.5"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spans="1:29" ht="12.5"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spans="1:29" ht="12.5"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spans="1:29" ht="12.5"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spans="1:29" ht="12.5"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spans="1:29" ht="12.5"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spans="1:29" ht="12.5"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spans="1:29" ht="12.5"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spans="1:29" ht="12.5"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spans="1:29" ht="12.5"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spans="1:29" ht="12.5"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spans="1:29" ht="12.5"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spans="1:29" ht="12.5"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spans="1:29" ht="12.5"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spans="1:29" ht="12.5"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spans="1:29" ht="12.5"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spans="1:29" ht="12.5"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spans="1:29" ht="12.5"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spans="1:29" ht="12.5"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spans="1:29" ht="12.5"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spans="1:29" ht="12.5"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spans="1:29" ht="12.5"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spans="1:29" ht="12.5"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spans="1:29" ht="12.5"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spans="1:29" ht="12.5"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spans="1:29" ht="12.5"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spans="1:29" ht="12.5"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spans="1:29" ht="12.5"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spans="1:29" ht="12.5"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spans="1:29" ht="12.5"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spans="1:29" ht="12.5"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spans="1:29" ht="12.5"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spans="1:29" ht="12.5"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spans="1:29" ht="12.5"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spans="1:29" ht="12.5"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spans="1:29" ht="12.5"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spans="1:29" ht="12.5"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spans="1:29" ht="12.5"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spans="1:29" ht="12.5"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spans="1:29" ht="12.5"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spans="1:29" ht="12.5"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spans="1:29" ht="12.5"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spans="1:29" ht="12.5"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spans="1:29" ht="12.5"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spans="1:29" ht="12.5"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spans="1:29" ht="12.5"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spans="1:29" ht="12.5"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spans="1:29" ht="12.5"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spans="1:29" ht="12.5"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spans="1:29" ht="12.5"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spans="1:29" ht="12.5"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spans="1:29" ht="12.5"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spans="1:29" ht="12.5"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spans="1:29" ht="12.5"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spans="1:29" ht="12.5"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spans="1:29" ht="12.5"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spans="1:29" ht="12.5"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spans="1:29" ht="12.5"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spans="1:29" ht="12.5"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spans="1:29" ht="12.5"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spans="1:29" ht="12.5"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spans="1:29" ht="12.5"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spans="1:29" ht="12.5"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spans="1:29" ht="12.5"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spans="1:29" ht="12.5"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spans="1:29" ht="12.5"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spans="1:29" ht="12.5"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spans="1:29" ht="12.5"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spans="1:29" ht="12.5"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spans="1:29" ht="12.5"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spans="1:29" ht="12.5"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spans="1:29" ht="12.5"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spans="1:29" ht="12.5"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spans="1:29" ht="12.5"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spans="1:29" ht="12.5"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spans="1:29" ht="12.5"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spans="1:29" ht="12.5"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spans="1:29" ht="12.5"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spans="1:29" ht="12.5"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spans="1:29" ht="12.5"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spans="1:29" ht="12.5"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spans="1:29" ht="12.5"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spans="1:29" ht="12.5"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spans="1:29" ht="12.5"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spans="1:29" ht="12.5"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spans="1:29" ht="12.5"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spans="1:29" ht="12.5"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spans="1:29" ht="12.5"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spans="1:29" ht="12.5"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spans="1:29" ht="12.5"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spans="1:29" ht="12.5"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spans="1:29" ht="12.5"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spans="1:29" ht="12.5"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spans="1:29" ht="12.5"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spans="1:29" ht="12.5"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spans="1:29" ht="12.5"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spans="1:29" ht="12.5"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spans="1:29" ht="12.5"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spans="1:29" ht="12.5"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spans="1:29" ht="12.5"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spans="1:29" ht="12.5"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spans="1:29" ht="12.5"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spans="1:29" ht="12.5"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spans="1:29" ht="12.5"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spans="1:29" ht="12.5"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spans="1:29" ht="12.5"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spans="1:29" ht="12.5"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spans="1:29" ht="12.5"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spans="1:29" ht="12.5"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spans="1:29" ht="12.5"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spans="1:29" ht="12.5"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spans="1:29" ht="12.5"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spans="1:29" ht="12.5"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spans="1:29" ht="12.5"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spans="1:29" ht="12.5"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spans="1:29" ht="12.5"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spans="1:29" ht="12.5"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spans="1:29" ht="12.5"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spans="1:29" ht="12.5"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spans="1:29" ht="12.5"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spans="1:29" ht="12.5"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spans="1:29" ht="12.5"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spans="1:29" ht="12.5"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spans="1:29" ht="12.5"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spans="1:29" ht="12.5"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spans="1:29" ht="12.5"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spans="1:29" ht="12.5"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spans="1:29" ht="12.5"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spans="1:29" ht="12.5"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spans="1:29" ht="12.5"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spans="1:29" ht="12.5"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spans="1:29" ht="12.5"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spans="1:29" ht="12.5"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spans="1:29" ht="12.5"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spans="1:29" ht="12.5"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spans="1:29" ht="12.5"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spans="1:29" ht="12.5"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spans="1:29" ht="12.5"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spans="1:29" ht="12.5"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spans="1:29" ht="12.5"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spans="1:29" ht="12.5"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spans="1:29" ht="12.5"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spans="1:29" ht="12.5"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spans="1:29" ht="12.5"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spans="1:29" ht="12.5"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spans="1:29" ht="12.5"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spans="1:29" ht="12.5"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row>
    <row r="1000" spans="1:29" ht="12.5" x14ac:dyDescent="0.25"/>
  </sheetData>
  <autoFilter ref="A1:AC1000"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Database Info</vt:lpstr>
      <vt:lpstr>Loggers</vt:lpstr>
      <vt:lpstr>Pivot Table 2</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Ashlyn Sak</cp:lastModifiedBy>
  <dcterms:modified xsi:type="dcterms:W3CDTF">2026-04-22T23:23:46Z</dcterms:modified>
</cp:coreProperties>
</file>