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cuments\Uganda\TemperatureLoggers\MOCO_2025\"/>
    </mc:Choice>
  </mc:AlternateContent>
  <xr:revisionPtr revIDLastSave="0" documentId="13_ncr:1_{3A7BFF8E-50C6-49AC-98E8-4F8F14781F7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BUTTS" sheetId="1" r:id="rId1"/>
    <sheet name="Counts" sheetId="2" r:id="rId2"/>
    <sheet name="Roost Temps" sheetId="3" r:id="rId3"/>
  </sheets>
  <definedNames>
    <definedName name="_xlnm._FilterDatabase" localSheetId="0" hidden="1">BUTTS!$A$1:$AI$999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MzSgHjgodVRhJ/PfKiowV8/+yYS264ZN8Bd1lIvVVt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</calcChain>
</file>

<file path=xl/sharedStrings.xml><?xml version="1.0" encoding="utf-8"?>
<sst xmlns="http://schemas.openxmlformats.org/spreadsheetml/2006/main" count="447" uniqueCount="239">
  <si>
    <t>Serial Number</t>
  </si>
  <si>
    <t>Logger Name</t>
  </si>
  <si>
    <t>Bat Pittag</t>
  </si>
  <si>
    <t>Group</t>
  </si>
  <si>
    <t>Date Attached</t>
  </si>
  <si>
    <t>Date Removed</t>
  </si>
  <si>
    <t xml:space="preserve">BUTT Status </t>
  </si>
  <si>
    <t>Treatment</t>
  </si>
  <si>
    <t>Logger location</t>
  </si>
  <si>
    <t>Notes</t>
  </si>
  <si>
    <t>BB00000081230841</t>
  </si>
  <si>
    <t>A1</t>
  </si>
  <si>
    <t>IE36076</t>
  </si>
  <si>
    <t>Downloaded</t>
  </si>
  <si>
    <t>eVLP</t>
  </si>
  <si>
    <t>B300000081225D41</t>
  </si>
  <si>
    <t>A2</t>
  </si>
  <si>
    <t>IE36014</t>
  </si>
  <si>
    <t>eVLP+cGAMP</t>
  </si>
  <si>
    <t>7F000000818B3741</t>
  </si>
  <si>
    <t>A3</t>
  </si>
  <si>
    <t>IE36102</t>
  </si>
  <si>
    <t>SHAM</t>
  </si>
  <si>
    <t>D8000000818C4541</t>
  </si>
  <si>
    <t>A4</t>
  </si>
  <si>
    <t>IE36042</t>
  </si>
  <si>
    <t>FF00000081816941</t>
  </si>
  <si>
    <t>A5</t>
  </si>
  <si>
    <t>IE36082</t>
  </si>
  <si>
    <t>eVLP+LPS</t>
  </si>
  <si>
    <t>63000000811C2F41</t>
  </si>
  <si>
    <t>A6</t>
  </si>
  <si>
    <t>IE36030</t>
  </si>
  <si>
    <t>2F0000008116ED41</t>
  </si>
  <si>
    <t>A7</t>
  </si>
  <si>
    <t>IE36074</t>
  </si>
  <si>
    <t>No data</t>
  </si>
  <si>
    <t>0700000081190F41</t>
  </si>
  <si>
    <t>B2</t>
  </si>
  <si>
    <t>IE36044</t>
  </si>
  <si>
    <t>770000008187D741</t>
  </si>
  <si>
    <t>B3</t>
  </si>
  <si>
    <t>IE36023</t>
  </si>
  <si>
    <t>Logger fell off - reattached</t>
  </si>
  <si>
    <t>E500000081218941</t>
  </si>
  <si>
    <t>B7</t>
  </si>
  <si>
    <t>IE36058</t>
  </si>
  <si>
    <t>76000000811A4241</t>
  </si>
  <si>
    <t>B9</t>
  </si>
  <si>
    <t>IE36088</t>
  </si>
  <si>
    <t>7D0000008122D241</t>
  </si>
  <si>
    <t>B4</t>
  </si>
  <si>
    <t>IE360005</t>
  </si>
  <si>
    <t>More glue added on 6-Jun</t>
  </si>
  <si>
    <t>2300000081816D41</t>
  </si>
  <si>
    <t>B10</t>
  </si>
  <si>
    <t>IE36060</t>
  </si>
  <si>
    <t>Logger fell off - reattached on butt on 6-Jun</t>
  </si>
  <si>
    <t>CD00000081881A41</t>
  </si>
  <si>
    <t>B15</t>
  </si>
  <si>
    <t>IE36051</t>
  </si>
  <si>
    <t>1C000000811B7F41</t>
  </si>
  <si>
    <t>A8</t>
  </si>
  <si>
    <t>IE36009</t>
  </si>
  <si>
    <t>46000000811E9741</t>
  </si>
  <si>
    <t>B11</t>
  </si>
  <si>
    <t>IE36071</t>
  </si>
  <si>
    <t>D3000000811C3A41</t>
  </si>
  <si>
    <t>B1</t>
  </si>
  <si>
    <t>IE36105</t>
  </si>
  <si>
    <t>A7000000811AA941</t>
  </si>
  <si>
    <t>B6</t>
  </si>
  <si>
    <t>IE36049</t>
  </si>
  <si>
    <t>B5</t>
  </si>
  <si>
    <t>IE36056</t>
  </si>
  <si>
    <t>Butt</t>
  </si>
  <si>
    <t>DF00000081814041</t>
  </si>
  <si>
    <t>B12</t>
  </si>
  <si>
    <t>IE36045</t>
  </si>
  <si>
    <t xml:space="preserve">Logger fell off - reattached </t>
  </si>
  <si>
    <t>B40000008187B741</t>
  </si>
  <si>
    <t>B14</t>
  </si>
  <si>
    <t>IE36013</t>
  </si>
  <si>
    <t>No Data</t>
  </si>
  <si>
    <t>04000000811ED641</t>
  </si>
  <si>
    <t>B8</t>
  </si>
  <si>
    <t>IE36029</t>
  </si>
  <si>
    <t>1000000081241041</t>
  </si>
  <si>
    <t>B13</t>
  </si>
  <si>
    <t>IE36098</t>
  </si>
  <si>
    <t>2D00000081244E41</t>
  </si>
  <si>
    <t>C1</t>
  </si>
  <si>
    <t>IE36054</t>
  </si>
  <si>
    <t>Cold</t>
  </si>
  <si>
    <t>F200000081239341</t>
  </si>
  <si>
    <t>B20</t>
  </si>
  <si>
    <t>Data does not look right, drops to -47</t>
  </si>
  <si>
    <t>4D00000081190241</t>
  </si>
  <si>
    <t>C2</t>
  </si>
  <si>
    <t>IE36083</t>
  </si>
  <si>
    <t>Hot</t>
  </si>
  <si>
    <t>5000000081186C41</t>
  </si>
  <si>
    <t>C3</t>
  </si>
  <si>
    <t>IE36070</t>
  </si>
  <si>
    <t>8300000081849D41</t>
  </si>
  <si>
    <t>C4</t>
  </si>
  <si>
    <t>IE36095</t>
  </si>
  <si>
    <t>01000000811F6C41</t>
  </si>
  <si>
    <t>A10</t>
  </si>
  <si>
    <t>Reattached on butt on 16-Jun</t>
  </si>
  <si>
    <t>7D000000818B2441</t>
  </si>
  <si>
    <t>C5</t>
  </si>
  <si>
    <t>IE36089</t>
  </si>
  <si>
    <t>9A000000818A5241</t>
  </si>
  <si>
    <t>C6</t>
  </si>
  <si>
    <t>IE36015</t>
  </si>
  <si>
    <t>Logger Lost</t>
  </si>
  <si>
    <t>7E00000081224441</t>
  </si>
  <si>
    <t>B16</t>
  </si>
  <si>
    <t>Fell off and reattached on 15-Jun</t>
  </si>
  <si>
    <t>B400000081858541</t>
  </si>
  <si>
    <t>C7</t>
  </si>
  <si>
    <t>IE36075</t>
  </si>
  <si>
    <t>Fell off and lost- attached C18 and never reattached C7</t>
  </si>
  <si>
    <t>3D000000818A6F41</t>
  </si>
  <si>
    <t>C18</t>
  </si>
  <si>
    <t>E6000000811F0341</t>
  </si>
  <si>
    <t>A14</t>
  </si>
  <si>
    <t>Bat removed logger the same night it was atttached. Circuit board exposed so discarded logger and attached new B19</t>
  </si>
  <si>
    <t>6100000081222041</t>
  </si>
  <si>
    <t>B19</t>
  </si>
  <si>
    <t>53000000811AC841</t>
  </si>
  <si>
    <t>C8</t>
  </si>
  <si>
    <t>IE36053</t>
  </si>
  <si>
    <t>AC00000081223941</t>
  </si>
  <si>
    <t>A9</t>
  </si>
  <si>
    <t>More glue added to logger on 15-Jun</t>
  </si>
  <si>
    <t>64000000811C9F41</t>
  </si>
  <si>
    <t>C9</t>
  </si>
  <si>
    <t>IE36091</t>
  </si>
  <si>
    <t>CB0000008181FE41</t>
  </si>
  <si>
    <t>C10</t>
  </si>
  <si>
    <t>IE36020</t>
  </si>
  <si>
    <t>CB0000008183CC41</t>
  </si>
  <si>
    <t>B22</t>
  </si>
  <si>
    <t>Fell off same day, reattached on 15-Jun</t>
  </si>
  <si>
    <t>260000008118BA41</t>
  </si>
  <si>
    <t>C11</t>
  </si>
  <si>
    <t>IE36024</t>
  </si>
  <si>
    <t>9A00000081838341</t>
  </si>
  <si>
    <t>A12</t>
  </si>
  <si>
    <t>Bat removed logger. Circuit board exposed so discarded logger and attached new B10</t>
  </si>
  <si>
    <t>Reused for bat 78 after bat 47 was done using</t>
  </si>
  <si>
    <t>C5000000811EA541</t>
  </si>
  <si>
    <t>C12</t>
  </si>
  <si>
    <t>IE36064</t>
  </si>
  <si>
    <t>1200000081836B41</t>
  </si>
  <si>
    <t>C13</t>
  </si>
  <si>
    <t>IE36028</t>
  </si>
  <si>
    <t>2B0000008189E941</t>
  </si>
  <si>
    <t>C14</t>
  </si>
  <si>
    <t>IE36025</t>
  </si>
  <si>
    <t>6D00000081871041</t>
  </si>
  <si>
    <t>C15</t>
  </si>
  <si>
    <t>IE36022</t>
  </si>
  <si>
    <t>8D000000818A7A41</t>
  </si>
  <si>
    <t>B18</t>
  </si>
  <si>
    <t>Reattatched on butt on 16-Jun</t>
  </si>
  <si>
    <t>71000000811DBD41</t>
  </si>
  <si>
    <t>C16</t>
  </si>
  <si>
    <t>IE36084</t>
  </si>
  <si>
    <t>1C00000081866F41</t>
  </si>
  <si>
    <t>C17</t>
  </si>
  <si>
    <t>IE36059</t>
  </si>
  <si>
    <t>6100000081194141</t>
  </si>
  <si>
    <t>B17</t>
  </si>
  <si>
    <t>B00000008121E041</t>
  </si>
  <si>
    <t>A11</t>
  </si>
  <si>
    <t>NA</t>
  </si>
  <si>
    <t>Not used</t>
  </si>
  <si>
    <t>95000000811F7641</t>
  </si>
  <si>
    <t>A13</t>
  </si>
  <si>
    <t>B5000000818B9E41</t>
  </si>
  <si>
    <t>B23</t>
  </si>
  <si>
    <t>06000000818A0441</t>
  </si>
  <si>
    <t>B21</t>
  </si>
  <si>
    <t>Treatments</t>
  </si>
  <si>
    <t>eVLP + POLY</t>
  </si>
  <si>
    <t>eVLP + cGAMP</t>
  </si>
  <si>
    <t>eVLP + LPS</t>
  </si>
  <si>
    <t>Location</t>
  </si>
  <si>
    <t>F900000081225041</t>
  </si>
  <si>
    <t>Union North</t>
  </si>
  <si>
    <t>9E0000008119FA41</t>
  </si>
  <si>
    <t>Union Ambient</t>
  </si>
  <si>
    <t>0800000081176D41</t>
  </si>
  <si>
    <t>Union East</t>
  </si>
  <si>
    <t>AC00000081200B41</t>
  </si>
  <si>
    <t>Rivendell/Cold Top</t>
  </si>
  <si>
    <t>16000000811C6F41</t>
  </si>
  <si>
    <t>Rivendell/Cold Bottom</t>
  </si>
  <si>
    <t>EF000000811ED341</t>
  </si>
  <si>
    <t>Incubator Ambient</t>
  </si>
  <si>
    <t>F300000081203D41</t>
  </si>
  <si>
    <t>Mordor/Hot Top</t>
  </si>
  <si>
    <t>B5000000811F5F41</t>
  </si>
  <si>
    <t>Mordor/Hot Bottom</t>
  </si>
  <si>
    <t>G3 Right side of right cage (south)</t>
  </si>
  <si>
    <t>G3 Left side of left cage (north)</t>
  </si>
  <si>
    <t>ED00000081189641</t>
  </si>
  <si>
    <t>Berlin</t>
  </si>
  <si>
    <t>1,2,3</t>
  </si>
  <si>
    <t>Fell off and not reattached</t>
  </si>
  <si>
    <t>Innoculation Date</t>
  </si>
  <si>
    <t>Boost Date</t>
  </si>
  <si>
    <t>Logger reattached 7-Jun</t>
  </si>
  <si>
    <t>Logger falling off and reattached 7-Jun</t>
  </si>
  <si>
    <t>Added more glue to logger on 16-Jun</t>
  </si>
  <si>
    <t>Logger fell off 22-May</t>
  </si>
  <si>
    <t>Logger half off on 21-May - reglued; Logger off on 25-May</t>
  </si>
  <si>
    <t>Died 26-May</t>
  </si>
  <si>
    <t>More glue added to logger 21-May; put down on 26-May</t>
  </si>
  <si>
    <t>Put down 31-May</t>
  </si>
  <si>
    <t>Died around 4-Jun</t>
  </si>
  <si>
    <t>Logger fell off - reattached maybe on 6-Jun</t>
  </si>
  <si>
    <t>Died in incubator on 23-May</t>
  </si>
  <si>
    <t>Dead on 27-May</t>
  </si>
  <si>
    <t>Found dead 11-Jun</t>
  </si>
  <si>
    <t>I think the logger fell off on 9-Jun</t>
  </si>
  <si>
    <t xml:space="preserve">Created row for combined data </t>
  </si>
  <si>
    <t>Injection_Used</t>
  </si>
  <si>
    <t>Boost</t>
  </si>
  <si>
    <t>Initial</t>
  </si>
  <si>
    <t>Trim Date</t>
  </si>
  <si>
    <t>Bat_ID</t>
  </si>
  <si>
    <t>eVLP alone</t>
  </si>
  <si>
    <t>eVLP+POLY I:C</t>
  </si>
  <si>
    <t>TC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</si>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</sst>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"/>
    <numFmt numFmtId="165" formatCode="m/d/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0" fillId="0" borderId="0" xfId="0" applyFont="1"/>
    <xf numFmtId="165" fontId="10" fillId="0" borderId="0" xfId="0" applyNumberFormat="1" applyFont="1"/>
    <xf numFmtId="11" fontId="11" fillId="0" borderId="0" xfId="0" applyNumberFormat="1" applyFont="1"/>
    <xf numFmtId="0" fontId="9" fillId="0" borderId="0" xfId="0" applyFont="1"/>
    <xf numFmtId="15" fontId="9" fillId="0" borderId="0" xfId="0" applyNumberFormat="1" applyFont="1"/>
    <xf numFmtId="0" fontId="12" fillId="0" borderId="0" xfId="0" applyFont="1"/>
    <xf numFmtId="15" fontId="12" fillId="0" borderId="0" xfId="0" applyNumberFormat="1" applyFont="1"/>
    <xf numFmtId="164" fontId="9" fillId="0" borderId="0" xfId="0" applyNumberFormat="1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topLeftCell="A42" zoomScale="110" zoomScaleNormal="110" workbookViewId="0">
      <selection activeCell="G1" sqref="G1"/>
    </sheetView>
  </sheetViews>
  <sheetFormatPr defaultColWidth="14.453125" defaultRowHeight="15" customHeight="1" x14ac:dyDescent="0.35"/>
  <cols>
    <col min="1" max="1" width="18.7265625" customWidth="1"/>
    <col min="2" max="2" width="12.453125" customWidth="1"/>
    <col min="3" max="3" width="8.7265625" customWidth="1"/>
    <col min="4" max="6" width="9.26953125" customWidth="1"/>
    <col min="7" max="7" width="8.7265625" customWidth="1"/>
    <col min="8" max="8" width="14.90625" bestFit="1" customWidth="1"/>
    <col min="9" max="9" width="15.81640625" bestFit="1" customWidth="1"/>
    <col min="10" max="10" width="13.453125" bestFit="1" customWidth="1"/>
    <col min="11" max="11" width="14.1796875" bestFit="1" customWidth="1"/>
    <col min="12" max="12" width="18" bestFit="1" customWidth="1"/>
    <col min="13" max="14" width="18" customWidth="1"/>
    <col min="15" max="35" width="8.7265625" customWidth="1"/>
  </cols>
  <sheetData>
    <row r="1" spans="1:16" ht="14.25" customHeight="1" x14ac:dyDescent="0.35">
      <c r="A1" s="1" t="s">
        <v>0</v>
      </c>
      <c r="B1" s="4" t="s">
        <v>1</v>
      </c>
      <c r="C1" s="14" t="s">
        <v>234</v>
      </c>
      <c r="D1" s="4" t="s">
        <v>2</v>
      </c>
      <c r="E1" s="12" t="s">
        <v>230</v>
      </c>
      <c r="F1" s="16" t="s">
        <v>238</v>
      </c>
      <c r="G1" s="4" t="s">
        <v>3</v>
      </c>
      <c r="H1" s="4" t="s">
        <v>4</v>
      </c>
      <c r="I1" s="4" t="s">
        <v>5</v>
      </c>
      <c r="J1" s="12" t="s">
        <v>6</v>
      </c>
      <c r="K1" s="4" t="s">
        <v>7</v>
      </c>
      <c r="L1" s="4" t="s">
        <v>213</v>
      </c>
      <c r="M1" s="4" t="s">
        <v>214</v>
      </c>
      <c r="N1" s="13" t="s">
        <v>233</v>
      </c>
      <c r="O1" s="4" t="s">
        <v>8</v>
      </c>
      <c r="P1" s="4" t="s">
        <v>9</v>
      </c>
    </row>
    <row r="2" spans="1:16" ht="14.25" customHeight="1" x14ac:dyDescent="0.35">
      <c r="A2" s="1" t="s">
        <v>10</v>
      </c>
      <c r="B2" s="4" t="s">
        <v>11</v>
      </c>
      <c r="C2" s="4">
        <v>3</v>
      </c>
      <c r="D2" s="4" t="s">
        <v>12</v>
      </c>
      <c r="E2" s="12" t="s">
        <v>231</v>
      </c>
      <c r="F2" s="12">
        <v>2</v>
      </c>
      <c r="G2" s="4">
        <v>1</v>
      </c>
      <c r="H2" s="5">
        <v>45811</v>
      </c>
      <c r="I2" s="5">
        <v>45819</v>
      </c>
      <c r="J2" s="4" t="s">
        <v>13</v>
      </c>
      <c r="K2" s="6" t="s">
        <v>235</v>
      </c>
      <c r="L2" s="7">
        <v>45792</v>
      </c>
      <c r="M2" s="7">
        <v>45813</v>
      </c>
      <c r="N2" s="7">
        <f>I2-1</f>
        <v>45818</v>
      </c>
      <c r="O2" s="4"/>
      <c r="P2" s="9" t="s">
        <v>227</v>
      </c>
    </row>
    <row r="3" spans="1:16" ht="14.25" customHeight="1" x14ac:dyDescent="0.35">
      <c r="A3" s="1" t="s">
        <v>15</v>
      </c>
      <c r="B3" s="4" t="s">
        <v>16</v>
      </c>
      <c r="C3" s="4">
        <v>9</v>
      </c>
      <c r="D3" s="4" t="s">
        <v>17</v>
      </c>
      <c r="E3" s="12" t="s">
        <v>231</v>
      </c>
      <c r="F3" s="12">
        <v>2</v>
      </c>
      <c r="G3" s="4">
        <v>1</v>
      </c>
      <c r="H3" s="5">
        <v>45811</v>
      </c>
      <c r="I3" s="5">
        <v>45821</v>
      </c>
      <c r="J3" s="4" t="s">
        <v>13</v>
      </c>
      <c r="K3" s="6" t="s">
        <v>18</v>
      </c>
      <c r="L3" s="7">
        <v>45792</v>
      </c>
      <c r="M3" s="7">
        <v>45813</v>
      </c>
      <c r="N3" s="7">
        <f t="shared" ref="N3:N55" si="0">I3-1</f>
        <v>45820</v>
      </c>
      <c r="O3" s="4"/>
      <c r="P3" s="4"/>
    </row>
    <row r="4" spans="1:16" ht="14.25" customHeight="1" x14ac:dyDescent="0.35">
      <c r="A4" s="1" t="s">
        <v>19</v>
      </c>
      <c r="B4" s="4" t="s">
        <v>20</v>
      </c>
      <c r="C4" s="4">
        <v>16</v>
      </c>
      <c r="D4" s="4" t="s">
        <v>21</v>
      </c>
      <c r="E4" s="12" t="s">
        <v>231</v>
      </c>
      <c r="F4" s="12">
        <v>2</v>
      </c>
      <c r="G4" s="4">
        <v>1</v>
      </c>
      <c r="H4" s="5">
        <v>45811</v>
      </c>
      <c r="I4" s="5">
        <v>45821</v>
      </c>
      <c r="J4" s="4" t="s">
        <v>13</v>
      </c>
      <c r="K4" s="4" t="s">
        <v>22</v>
      </c>
      <c r="L4" s="7">
        <v>45792</v>
      </c>
      <c r="M4" s="7">
        <v>45813</v>
      </c>
      <c r="N4" s="7">
        <f t="shared" si="0"/>
        <v>45820</v>
      </c>
      <c r="O4" s="4"/>
      <c r="P4" s="4"/>
    </row>
    <row r="5" spans="1:16" ht="14.25" customHeight="1" x14ac:dyDescent="0.35">
      <c r="A5" s="1" t="s">
        <v>23</v>
      </c>
      <c r="B5" s="9" t="s">
        <v>24</v>
      </c>
      <c r="C5" s="4">
        <v>21</v>
      </c>
      <c r="D5" s="4" t="s">
        <v>25</v>
      </c>
      <c r="E5" s="12" t="s">
        <v>231</v>
      </c>
      <c r="F5" s="12">
        <v>2</v>
      </c>
      <c r="G5" s="4">
        <v>1</v>
      </c>
      <c r="H5" s="5">
        <v>45811</v>
      </c>
      <c r="I5" s="5">
        <v>45821</v>
      </c>
      <c r="J5" s="4" t="s">
        <v>13</v>
      </c>
      <c r="K5" s="6" t="s">
        <v>18</v>
      </c>
      <c r="L5" s="7">
        <v>45792</v>
      </c>
      <c r="M5" s="7">
        <v>45813</v>
      </c>
      <c r="N5" s="7">
        <f t="shared" si="0"/>
        <v>45820</v>
      </c>
      <c r="O5" s="4"/>
      <c r="P5" s="9" t="s">
        <v>228</v>
      </c>
    </row>
    <row r="6" spans="1:16" ht="14.25" customHeight="1" x14ac:dyDescent="0.35">
      <c r="A6" s="1" t="s">
        <v>26</v>
      </c>
      <c r="B6" s="4" t="s">
        <v>27</v>
      </c>
      <c r="C6" s="4">
        <v>22</v>
      </c>
      <c r="D6" s="4" t="s">
        <v>28</v>
      </c>
      <c r="E6" s="12" t="s">
        <v>231</v>
      </c>
      <c r="F6" s="12">
        <v>2</v>
      </c>
      <c r="G6" s="4">
        <v>1</v>
      </c>
      <c r="H6" s="5">
        <v>45811</v>
      </c>
      <c r="I6" s="5">
        <v>45821</v>
      </c>
      <c r="J6" s="4" t="s">
        <v>13</v>
      </c>
      <c r="K6" s="6" t="s">
        <v>29</v>
      </c>
      <c r="L6" s="7">
        <v>45792</v>
      </c>
      <c r="M6" s="7">
        <v>45813</v>
      </c>
      <c r="N6" s="7">
        <f t="shared" si="0"/>
        <v>45820</v>
      </c>
      <c r="O6" s="4"/>
      <c r="P6" s="4"/>
    </row>
    <row r="7" spans="1:16" ht="14.25" customHeight="1" x14ac:dyDescent="0.35">
      <c r="A7" s="1" t="s">
        <v>30</v>
      </c>
      <c r="B7" s="4" t="s">
        <v>31</v>
      </c>
      <c r="C7" s="4">
        <v>26</v>
      </c>
      <c r="D7" s="4" t="s">
        <v>32</v>
      </c>
      <c r="E7" s="12" t="s">
        <v>231</v>
      </c>
      <c r="F7" s="12">
        <v>2</v>
      </c>
      <c r="G7" s="4">
        <v>1</v>
      </c>
      <c r="H7" s="5">
        <v>45811</v>
      </c>
      <c r="I7" s="5">
        <v>45821</v>
      </c>
      <c r="J7" s="4" t="s">
        <v>13</v>
      </c>
      <c r="K7" s="6" t="s">
        <v>29</v>
      </c>
      <c r="L7" s="7">
        <v>45792</v>
      </c>
      <c r="M7" s="7">
        <v>45813</v>
      </c>
      <c r="N7" s="7">
        <f t="shared" si="0"/>
        <v>45820</v>
      </c>
      <c r="O7" s="4"/>
      <c r="P7" s="4"/>
    </row>
    <row r="8" spans="1:16" ht="14.25" customHeight="1" x14ac:dyDescent="0.35">
      <c r="A8" s="1" t="s">
        <v>33</v>
      </c>
      <c r="B8" s="4" t="s">
        <v>34</v>
      </c>
      <c r="C8" s="4">
        <v>28</v>
      </c>
      <c r="D8" s="4" t="s">
        <v>35</v>
      </c>
      <c r="E8" s="12" t="s">
        <v>231</v>
      </c>
      <c r="F8" s="12">
        <v>2</v>
      </c>
      <c r="G8" s="4">
        <v>1</v>
      </c>
      <c r="H8" s="5">
        <v>45811</v>
      </c>
      <c r="I8" s="4"/>
      <c r="J8" s="4" t="s">
        <v>36</v>
      </c>
      <c r="K8" s="6" t="s">
        <v>236</v>
      </c>
      <c r="L8" s="7">
        <v>45792</v>
      </c>
      <c r="M8" s="7">
        <v>45813</v>
      </c>
      <c r="N8" s="7"/>
      <c r="O8" s="4"/>
      <c r="P8" s="4"/>
    </row>
    <row r="9" spans="1:16" ht="14.25" customHeight="1" x14ac:dyDescent="0.35">
      <c r="A9" s="1" t="s">
        <v>37</v>
      </c>
      <c r="B9" s="4" t="s">
        <v>38</v>
      </c>
      <c r="C9" s="4">
        <v>39</v>
      </c>
      <c r="D9" s="4" t="s">
        <v>39</v>
      </c>
      <c r="E9" s="12" t="s">
        <v>231</v>
      </c>
      <c r="F9" s="12">
        <v>2</v>
      </c>
      <c r="G9" s="4">
        <v>2</v>
      </c>
      <c r="H9" s="5">
        <v>45813</v>
      </c>
      <c r="I9" s="5">
        <v>45821</v>
      </c>
      <c r="J9" s="4" t="s">
        <v>13</v>
      </c>
      <c r="K9" s="6" t="s">
        <v>236</v>
      </c>
      <c r="L9" s="7">
        <v>45794</v>
      </c>
      <c r="M9" s="7">
        <v>45815</v>
      </c>
      <c r="N9" s="7">
        <f t="shared" si="0"/>
        <v>45820</v>
      </c>
      <c r="O9" s="4"/>
      <c r="P9" s="4" t="s">
        <v>215</v>
      </c>
    </row>
    <row r="10" spans="1:16" ht="14.25" customHeight="1" x14ac:dyDescent="0.35">
      <c r="A10" s="1" t="s">
        <v>40</v>
      </c>
      <c r="B10" s="4" t="s">
        <v>41</v>
      </c>
      <c r="C10" s="4">
        <v>40</v>
      </c>
      <c r="D10" s="4" t="s">
        <v>42</v>
      </c>
      <c r="E10" s="12" t="s">
        <v>231</v>
      </c>
      <c r="F10" s="12">
        <v>2</v>
      </c>
      <c r="G10" s="4">
        <v>2</v>
      </c>
      <c r="H10" s="5">
        <v>45813</v>
      </c>
      <c r="I10" s="5">
        <v>45818</v>
      </c>
      <c r="J10" s="4" t="s">
        <v>36</v>
      </c>
      <c r="K10" s="6" t="s">
        <v>29</v>
      </c>
      <c r="L10" s="7">
        <v>45794</v>
      </c>
      <c r="M10" s="7">
        <v>45815</v>
      </c>
      <c r="N10" s="7">
        <f t="shared" si="0"/>
        <v>45817</v>
      </c>
      <c r="O10" s="4"/>
      <c r="P10" s="4" t="s">
        <v>43</v>
      </c>
    </row>
    <row r="11" spans="1:16" ht="14.25" customHeight="1" x14ac:dyDescent="0.35">
      <c r="A11" s="1" t="s">
        <v>44</v>
      </c>
      <c r="B11" s="4" t="s">
        <v>45</v>
      </c>
      <c r="C11" s="4">
        <v>41</v>
      </c>
      <c r="D11" s="4" t="s">
        <v>46</v>
      </c>
      <c r="E11" s="12" t="s">
        <v>231</v>
      </c>
      <c r="F11" s="12">
        <v>2</v>
      </c>
      <c r="G11" s="4">
        <v>2</v>
      </c>
      <c r="H11" s="5">
        <v>45813</v>
      </c>
      <c r="I11" s="5">
        <v>45821</v>
      </c>
      <c r="J11" s="4" t="s">
        <v>13</v>
      </c>
      <c r="K11" s="4" t="s">
        <v>22</v>
      </c>
      <c r="L11" s="7">
        <v>45794</v>
      </c>
      <c r="M11" s="7">
        <v>45815</v>
      </c>
      <c r="N11" s="7">
        <f t="shared" si="0"/>
        <v>45820</v>
      </c>
      <c r="O11" s="4"/>
      <c r="P11" s="4"/>
    </row>
    <row r="12" spans="1:16" ht="14.25" customHeight="1" x14ac:dyDescent="0.35">
      <c r="A12" s="1" t="s">
        <v>47</v>
      </c>
      <c r="B12" s="4" t="s">
        <v>48</v>
      </c>
      <c r="C12" s="4">
        <v>44</v>
      </c>
      <c r="D12" s="4" t="s">
        <v>49</v>
      </c>
      <c r="E12" s="12" t="s">
        <v>231</v>
      </c>
      <c r="F12" s="12">
        <v>2</v>
      </c>
      <c r="G12" s="4">
        <v>2</v>
      </c>
      <c r="H12" s="5">
        <v>45813</v>
      </c>
      <c r="I12" s="5">
        <v>45821</v>
      </c>
      <c r="J12" s="4" t="s">
        <v>13</v>
      </c>
      <c r="K12" s="6" t="s">
        <v>236</v>
      </c>
      <c r="L12" s="7">
        <v>45794</v>
      </c>
      <c r="M12" s="7">
        <v>45815</v>
      </c>
      <c r="N12" s="7">
        <f t="shared" si="0"/>
        <v>45820</v>
      </c>
      <c r="O12" s="4"/>
      <c r="P12" s="4"/>
    </row>
    <row r="13" spans="1:16" ht="14.25" customHeight="1" x14ac:dyDescent="0.35">
      <c r="A13" s="1" t="s">
        <v>50</v>
      </c>
      <c r="B13" s="4" t="s">
        <v>51</v>
      </c>
      <c r="C13" s="4">
        <v>46</v>
      </c>
      <c r="D13" s="4" t="s">
        <v>52</v>
      </c>
      <c r="E13" s="12" t="s">
        <v>231</v>
      </c>
      <c r="F13" s="12">
        <v>2</v>
      </c>
      <c r="G13" s="4">
        <v>2</v>
      </c>
      <c r="H13" s="5">
        <v>45813</v>
      </c>
      <c r="I13" s="5">
        <v>45821</v>
      </c>
      <c r="J13" s="4" t="s">
        <v>13</v>
      </c>
      <c r="K13" s="6" t="s">
        <v>235</v>
      </c>
      <c r="L13" s="7">
        <v>45794</v>
      </c>
      <c r="M13" s="7">
        <v>45815</v>
      </c>
      <c r="N13" s="7">
        <f t="shared" si="0"/>
        <v>45820</v>
      </c>
      <c r="O13" s="4"/>
      <c r="P13" s="4" t="s">
        <v>53</v>
      </c>
    </row>
    <row r="14" spans="1:16" ht="14.25" customHeight="1" x14ac:dyDescent="0.35">
      <c r="A14" s="1" t="s">
        <v>54</v>
      </c>
      <c r="B14" s="4" t="s">
        <v>55</v>
      </c>
      <c r="C14" s="4">
        <v>47</v>
      </c>
      <c r="D14" s="4" t="s">
        <v>56</v>
      </c>
      <c r="E14" s="12" t="s">
        <v>231</v>
      </c>
      <c r="F14" s="12">
        <v>2</v>
      </c>
      <c r="G14" s="4">
        <v>2</v>
      </c>
      <c r="H14" s="5">
        <v>45813</v>
      </c>
      <c r="I14" s="5">
        <v>45821</v>
      </c>
      <c r="J14" s="4" t="s">
        <v>13</v>
      </c>
      <c r="K14" s="4" t="s">
        <v>22</v>
      </c>
      <c r="L14" s="7">
        <v>45794</v>
      </c>
      <c r="M14" s="7">
        <v>45815</v>
      </c>
      <c r="N14" s="7">
        <f t="shared" si="0"/>
        <v>45820</v>
      </c>
      <c r="O14" s="4" t="s">
        <v>75</v>
      </c>
      <c r="P14" s="4" t="s">
        <v>57</v>
      </c>
    </row>
    <row r="15" spans="1:16" ht="14.25" customHeight="1" x14ac:dyDescent="0.35">
      <c r="A15" s="1" t="s">
        <v>58</v>
      </c>
      <c r="B15" s="4" t="s">
        <v>59</v>
      </c>
      <c r="C15" s="4">
        <v>48</v>
      </c>
      <c r="D15" s="4" t="s">
        <v>60</v>
      </c>
      <c r="E15" s="12" t="s">
        <v>231</v>
      </c>
      <c r="F15" s="12">
        <v>2</v>
      </c>
      <c r="G15" s="4">
        <v>2</v>
      </c>
      <c r="H15" s="5">
        <v>45814</v>
      </c>
      <c r="I15" s="5">
        <v>45821</v>
      </c>
      <c r="J15" s="4" t="s">
        <v>13</v>
      </c>
      <c r="K15" s="6" t="s">
        <v>29</v>
      </c>
      <c r="L15" s="7">
        <v>45794</v>
      </c>
      <c r="M15" s="7">
        <v>45815</v>
      </c>
      <c r="N15" s="7">
        <f t="shared" si="0"/>
        <v>45820</v>
      </c>
      <c r="O15" s="4"/>
      <c r="P15" s="4" t="s">
        <v>216</v>
      </c>
    </row>
    <row r="16" spans="1:16" ht="14.25" customHeight="1" x14ac:dyDescent="0.35">
      <c r="A16" s="1" t="s">
        <v>61</v>
      </c>
      <c r="B16" s="4" t="s">
        <v>62</v>
      </c>
      <c r="C16" s="4">
        <v>49</v>
      </c>
      <c r="D16" s="4" t="s">
        <v>63</v>
      </c>
      <c r="E16" s="12" t="s">
        <v>231</v>
      </c>
      <c r="F16" s="12">
        <v>2</v>
      </c>
      <c r="G16" s="4">
        <v>1</v>
      </c>
      <c r="H16" s="5">
        <v>45811</v>
      </c>
      <c r="I16" s="5">
        <v>45821</v>
      </c>
      <c r="J16" s="4" t="s">
        <v>13</v>
      </c>
      <c r="K16" s="4" t="s">
        <v>22</v>
      </c>
      <c r="L16" s="7">
        <v>45792</v>
      </c>
      <c r="M16" s="7">
        <v>45813</v>
      </c>
      <c r="N16" s="7">
        <f t="shared" si="0"/>
        <v>45820</v>
      </c>
      <c r="O16" s="4"/>
      <c r="P16" s="4"/>
    </row>
    <row r="17" spans="1:16" ht="14.25" customHeight="1" x14ac:dyDescent="0.35">
      <c r="A17" s="1" t="s">
        <v>64</v>
      </c>
      <c r="B17" s="4" t="s">
        <v>65</v>
      </c>
      <c r="C17" s="4">
        <v>50</v>
      </c>
      <c r="D17" s="4" t="s">
        <v>66</v>
      </c>
      <c r="E17" s="12" t="s">
        <v>231</v>
      </c>
      <c r="F17" s="12">
        <v>2</v>
      </c>
      <c r="G17" s="4">
        <v>2</v>
      </c>
      <c r="H17" s="5">
        <v>45813</v>
      </c>
      <c r="I17" s="5">
        <v>45821</v>
      </c>
      <c r="J17" s="4" t="s">
        <v>13</v>
      </c>
      <c r="K17" s="6" t="s">
        <v>235</v>
      </c>
      <c r="L17" s="7">
        <v>45794</v>
      </c>
      <c r="M17" s="7">
        <v>45815</v>
      </c>
      <c r="N17" s="7">
        <f t="shared" si="0"/>
        <v>45820</v>
      </c>
      <c r="O17" s="4"/>
      <c r="P17" s="4" t="s">
        <v>224</v>
      </c>
    </row>
    <row r="18" spans="1:16" ht="14.25" customHeight="1" x14ac:dyDescent="0.35">
      <c r="A18" s="1" t="s">
        <v>67</v>
      </c>
      <c r="B18" s="4" t="s">
        <v>68</v>
      </c>
      <c r="C18" s="4">
        <v>52</v>
      </c>
      <c r="D18" s="4" t="s">
        <v>69</v>
      </c>
      <c r="E18" s="12" t="s">
        <v>231</v>
      </c>
      <c r="F18" s="12">
        <v>2</v>
      </c>
      <c r="G18" s="4">
        <v>2</v>
      </c>
      <c r="H18" s="5">
        <v>45813</v>
      </c>
      <c r="I18" s="5">
        <v>45821</v>
      </c>
      <c r="J18" s="4" t="s">
        <v>36</v>
      </c>
      <c r="K18" s="6" t="s">
        <v>235</v>
      </c>
      <c r="L18" s="7">
        <v>45794</v>
      </c>
      <c r="M18" s="7">
        <v>45815</v>
      </c>
      <c r="N18" s="7">
        <f t="shared" si="0"/>
        <v>45820</v>
      </c>
      <c r="O18" s="4"/>
      <c r="P18" s="4"/>
    </row>
    <row r="19" spans="1:16" ht="14.25" customHeight="1" x14ac:dyDescent="0.35">
      <c r="A19" s="1" t="s">
        <v>70</v>
      </c>
      <c r="B19" s="4" t="s">
        <v>71</v>
      </c>
      <c r="C19" s="4">
        <v>53</v>
      </c>
      <c r="D19" s="4" t="s">
        <v>72</v>
      </c>
      <c r="E19" s="12" t="s">
        <v>231</v>
      </c>
      <c r="F19" s="12">
        <v>2</v>
      </c>
      <c r="G19" s="4">
        <v>2</v>
      </c>
      <c r="H19" s="5">
        <v>45813</v>
      </c>
      <c r="I19" s="5">
        <v>45813</v>
      </c>
      <c r="J19" s="4" t="s">
        <v>36</v>
      </c>
      <c r="K19" s="6" t="s">
        <v>235</v>
      </c>
      <c r="L19" s="7">
        <v>45794</v>
      </c>
      <c r="M19" s="6" t="s">
        <v>178</v>
      </c>
      <c r="N19" s="7"/>
      <c r="O19" s="4"/>
      <c r="P19" s="4" t="s">
        <v>212</v>
      </c>
    </row>
    <row r="20" spans="1:16" ht="14.25" customHeight="1" x14ac:dyDescent="0.35">
      <c r="A20" s="1">
        <v>200000081173241</v>
      </c>
      <c r="B20" s="4" t="s">
        <v>73</v>
      </c>
      <c r="C20" s="4">
        <v>54</v>
      </c>
      <c r="D20" s="4" t="s">
        <v>74</v>
      </c>
      <c r="E20" s="12" t="s">
        <v>231</v>
      </c>
      <c r="F20" s="12">
        <v>2</v>
      </c>
      <c r="G20" s="4">
        <v>2</v>
      </c>
      <c r="H20" s="5">
        <v>45813</v>
      </c>
      <c r="I20" s="5">
        <v>45821</v>
      </c>
      <c r="J20" s="4" t="s">
        <v>13</v>
      </c>
      <c r="K20" s="6" t="s">
        <v>18</v>
      </c>
      <c r="L20" s="7">
        <v>45794</v>
      </c>
      <c r="M20" s="7">
        <v>45815</v>
      </c>
      <c r="N20" s="7">
        <f t="shared" si="0"/>
        <v>45820</v>
      </c>
      <c r="O20" s="4" t="s">
        <v>75</v>
      </c>
      <c r="P20" s="4" t="s">
        <v>57</v>
      </c>
    </row>
    <row r="21" spans="1:16" ht="14.25" customHeight="1" x14ac:dyDescent="0.35">
      <c r="A21" s="1" t="s">
        <v>76</v>
      </c>
      <c r="B21" s="4" t="s">
        <v>77</v>
      </c>
      <c r="C21" s="4">
        <v>55</v>
      </c>
      <c r="D21" s="4" t="s">
        <v>78</v>
      </c>
      <c r="E21" s="12" t="s">
        <v>231</v>
      </c>
      <c r="F21" s="12">
        <v>2</v>
      </c>
      <c r="G21" s="4">
        <v>2</v>
      </c>
      <c r="H21" s="5">
        <v>45814</v>
      </c>
      <c r="I21" s="5">
        <v>45821</v>
      </c>
      <c r="J21" s="4" t="s">
        <v>13</v>
      </c>
      <c r="K21" s="6" t="s">
        <v>236</v>
      </c>
      <c r="L21" s="7">
        <v>45794</v>
      </c>
      <c r="M21" s="7">
        <v>45815</v>
      </c>
      <c r="N21" s="7">
        <f t="shared" si="0"/>
        <v>45820</v>
      </c>
      <c r="O21" s="4"/>
      <c r="P21" s="4" t="s">
        <v>79</v>
      </c>
    </row>
    <row r="22" spans="1:16" ht="14.25" customHeight="1" x14ac:dyDescent="0.35">
      <c r="A22" s="1" t="s">
        <v>80</v>
      </c>
      <c r="B22" s="4" t="s">
        <v>81</v>
      </c>
      <c r="C22" s="4">
        <v>56</v>
      </c>
      <c r="D22" s="4" t="s">
        <v>82</v>
      </c>
      <c r="E22" s="12" t="s">
        <v>231</v>
      </c>
      <c r="F22" s="12">
        <v>2</v>
      </c>
      <c r="G22" s="4">
        <v>2</v>
      </c>
      <c r="H22" s="5">
        <v>45813</v>
      </c>
      <c r="I22" s="5">
        <v>45821</v>
      </c>
      <c r="J22" s="4" t="s">
        <v>83</v>
      </c>
      <c r="K22" s="4" t="s">
        <v>22</v>
      </c>
      <c r="L22" s="7">
        <v>45794</v>
      </c>
      <c r="M22" s="7">
        <v>45815</v>
      </c>
      <c r="N22" s="7">
        <f t="shared" si="0"/>
        <v>45820</v>
      </c>
      <c r="O22" s="4"/>
      <c r="P22" s="4"/>
    </row>
    <row r="23" spans="1:16" ht="14.25" customHeight="1" x14ac:dyDescent="0.35">
      <c r="A23" s="1" t="s">
        <v>84</v>
      </c>
      <c r="B23" s="4" t="s">
        <v>85</v>
      </c>
      <c r="C23" s="4">
        <v>60</v>
      </c>
      <c r="D23" s="4" t="s">
        <v>86</v>
      </c>
      <c r="E23" s="12" t="s">
        <v>231</v>
      </c>
      <c r="F23" s="12">
        <v>2</v>
      </c>
      <c r="G23" s="4">
        <v>2</v>
      </c>
      <c r="H23" s="5">
        <v>45813</v>
      </c>
      <c r="I23" s="5">
        <v>45821</v>
      </c>
      <c r="J23" s="4" t="s">
        <v>13</v>
      </c>
      <c r="K23" s="6" t="s">
        <v>18</v>
      </c>
      <c r="L23" s="7">
        <v>45794</v>
      </c>
      <c r="M23" s="7">
        <v>45815</v>
      </c>
      <c r="N23" s="7">
        <f t="shared" si="0"/>
        <v>45820</v>
      </c>
      <c r="O23" s="4"/>
      <c r="P23" s="4" t="s">
        <v>224</v>
      </c>
    </row>
    <row r="24" spans="1:16" ht="14.25" customHeight="1" x14ac:dyDescent="0.35">
      <c r="A24" s="1" t="s">
        <v>87</v>
      </c>
      <c r="B24" s="4" t="s">
        <v>88</v>
      </c>
      <c r="C24" s="4">
        <v>62</v>
      </c>
      <c r="D24" s="4" t="s">
        <v>89</v>
      </c>
      <c r="E24" s="12" t="s">
        <v>231</v>
      </c>
      <c r="F24" s="12">
        <v>2</v>
      </c>
      <c r="G24" s="4">
        <v>2</v>
      </c>
      <c r="H24" s="5">
        <v>45814</v>
      </c>
      <c r="I24" s="5">
        <v>45821</v>
      </c>
      <c r="J24" s="4" t="s">
        <v>13</v>
      </c>
      <c r="K24" s="6" t="s">
        <v>29</v>
      </c>
      <c r="L24" s="7">
        <v>45794</v>
      </c>
      <c r="M24" s="7">
        <v>45815</v>
      </c>
      <c r="N24" s="7">
        <f t="shared" si="0"/>
        <v>45820</v>
      </c>
      <c r="O24" s="4"/>
      <c r="P24" s="4" t="s">
        <v>79</v>
      </c>
    </row>
    <row r="25" spans="1:16" ht="14.25" customHeight="1" x14ac:dyDescent="0.35">
      <c r="A25" s="1" t="s">
        <v>90</v>
      </c>
      <c r="B25" s="4" t="s">
        <v>91</v>
      </c>
      <c r="C25" s="10">
        <v>64.099999999999994</v>
      </c>
      <c r="D25" s="4" t="s">
        <v>92</v>
      </c>
      <c r="E25" s="12" t="s">
        <v>232</v>
      </c>
      <c r="F25" s="12">
        <v>1</v>
      </c>
      <c r="G25" s="4">
        <v>3</v>
      </c>
      <c r="H25" s="8">
        <v>45797</v>
      </c>
      <c r="I25" s="5">
        <v>45820</v>
      </c>
      <c r="J25" s="4" t="s">
        <v>13</v>
      </c>
      <c r="K25" s="15" t="s">
        <v>237</v>
      </c>
      <c r="L25" s="5">
        <v>45803</v>
      </c>
      <c r="M25" s="5">
        <v>45824</v>
      </c>
      <c r="N25" s="7">
        <f t="shared" si="0"/>
        <v>45819</v>
      </c>
      <c r="O25" s="4"/>
      <c r="P25" s="4"/>
    </row>
    <row r="26" spans="1:16" ht="14.25" customHeight="1" x14ac:dyDescent="0.35">
      <c r="A26" s="1" t="s">
        <v>94</v>
      </c>
      <c r="B26" s="4" t="s">
        <v>95</v>
      </c>
      <c r="C26" s="10">
        <v>64.2</v>
      </c>
      <c r="D26" s="4" t="s">
        <v>92</v>
      </c>
      <c r="E26" s="12" t="s">
        <v>231</v>
      </c>
      <c r="F26" s="12">
        <v>2</v>
      </c>
      <c r="G26" s="4">
        <v>3</v>
      </c>
      <c r="H26" s="5">
        <v>45822</v>
      </c>
      <c r="I26" s="5">
        <v>45826</v>
      </c>
      <c r="J26" s="4" t="s">
        <v>13</v>
      </c>
      <c r="K26" s="15" t="s">
        <v>237</v>
      </c>
      <c r="L26" s="5">
        <v>45803</v>
      </c>
      <c r="M26" s="5">
        <v>45824</v>
      </c>
      <c r="N26" s="7">
        <f t="shared" si="0"/>
        <v>45825</v>
      </c>
      <c r="O26" s="4" t="s">
        <v>75</v>
      </c>
      <c r="P26" s="4" t="s">
        <v>96</v>
      </c>
    </row>
    <row r="27" spans="1:16" ht="14.25" customHeight="1" x14ac:dyDescent="0.35">
      <c r="A27" s="1" t="s">
        <v>97</v>
      </c>
      <c r="B27" s="4" t="s">
        <v>98</v>
      </c>
      <c r="C27" s="4">
        <v>66</v>
      </c>
      <c r="D27" s="4" t="s">
        <v>99</v>
      </c>
      <c r="E27" s="12" t="s">
        <v>232</v>
      </c>
      <c r="F27" s="12">
        <v>1</v>
      </c>
      <c r="G27" s="4">
        <v>3</v>
      </c>
      <c r="H27" s="8">
        <v>45797</v>
      </c>
      <c r="I27" s="8">
        <v>45802</v>
      </c>
      <c r="J27" s="4" t="s">
        <v>83</v>
      </c>
      <c r="K27" s="4" t="s">
        <v>100</v>
      </c>
      <c r="L27" s="5">
        <v>45803</v>
      </c>
      <c r="M27" s="4" t="s">
        <v>178</v>
      </c>
      <c r="N27" s="7">
        <f t="shared" si="0"/>
        <v>45801</v>
      </c>
      <c r="O27" s="4"/>
      <c r="P27" s="4" t="s">
        <v>219</v>
      </c>
    </row>
    <row r="28" spans="1:16" ht="14.25" customHeight="1" x14ac:dyDescent="0.35">
      <c r="A28" s="1" t="s">
        <v>101</v>
      </c>
      <c r="B28" s="4" t="s">
        <v>102</v>
      </c>
      <c r="C28" s="4">
        <v>67</v>
      </c>
      <c r="D28" s="4" t="s">
        <v>103</v>
      </c>
      <c r="E28" s="12" t="s">
        <v>232</v>
      </c>
      <c r="F28" s="12">
        <v>1</v>
      </c>
      <c r="G28" s="4">
        <v>3</v>
      </c>
      <c r="H28" s="8">
        <v>45797</v>
      </c>
      <c r="I28" s="5">
        <v>45812</v>
      </c>
      <c r="J28" s="4" t="s">
        <v>83</v>
      </c>
      <c r="K28" s="15" t="s">
        <v>237</v>
      </c>
      <c r="L28" s="5">
        <v>45803</v>
      </c>
      <c r="M28" s="4" t="s">
        <v>178</v>
      </c>
      <c r="N28" s="7">
        <f t="shared" si="0"/>
        <v>45811</v>
      </c>
      <c r="O28" s="4" t="s">
        <v>75</v>
      </c>
      <c r="P28" s="4" t="s">
        <v>223</v>
      </c>
    </row>
    <row r="29" spans="1:16" ht="14.25" customHeight="1" x14ac:dyDescent="0.35">
      <c r="A29" s="1" t="s">
        <v>104</v>
      </c>
      <c r="B29" s="4" t="s">
        <v>105</v>
      </c>
      <c r="C29" s="10">
        <v>68.099999999999994</v>
      </c>
      <c r="D29" s="4" t="s">
        <v>106</v>
      </c>
      <c r="E29" s="12" t="s">
        <v>232</v>
      </c>
      <c r="F29" s="12">
        <v>1</v>
      </c>
      <c r="G29" s="4">
        <v>3</v>
      </c>
      <c r="H29" s="8">
        <v>45797</v>
      </c>
      <c r="I29" s="5">
        <v>45811</v>
      </c>
      <c r="J29" s="4" t="s">
        <v>13</v>
      </c>
      <c r="K29" s="15" t="s">
        <v>237</v>
      </c>
      <c r="L29" s="5">
        <v>45803</v>
      </c>
      <c r="M29" s="5">
        <v>45824</v>
      </c>
      <c r="N29" s="7">
        <f t="shared" si="0"/>
        <v>45810</v>
      </c>
      <c r="O29" s="4"/>
      <c r="P29" s="4"/>
    </row>
    <row r="30" spans="1:16" ht="14.25" customHeight="1" x14ac:dyDescent="0.35">
      <c r="A30" s="1" t="s">
        <v>107</v>
      </c>
      <c r="B30" s="4" t="s">
        <v>108</v>
      </c>
      <c r="C30" s="4">
        <v>68.2</v>
      </c>
      <c r="D30" s="4" t="s">
        <v>106</v>
      </c>
      <c r="E30" s="12" t="s">
        <v>231</v>
      </c>
      <c r="F30" s="12">
        <v>2</v>
      </c>
      <c r="G30" s="4">
        <v>3</v>
      </c>
      <c r="H30" s="5">
        <v>45822</v>
      </c>
      <c r="I30" s="5">
        <v>45826</v>
      </c>
      <c r="J30" s="4" t="s">
        <v>13</v>
      </c>
      <c r="K30" s="15" t="s">
        <v>237</v>
      </c>
      <c r="L30" s="5">
        <v>45803</v>
      </c>
      <c r="M30" s="5">
        <v>45824</v>
      </c>
      <c r="N30" s="7">
        <f t="shared" si="0"/>
        <v>45825</v>
      </c>
      <c r="O30" s="4" t="s">
        <v>75</v>
      </c>
      <c r="P30" s="4" t="s">
        <v>109</v>
      </c>
    </row>
    <row r="31" spans="1:16" ht="14.25" customHeight="1" x14ac:dyDescent="0.35">
      <c r="A31" s="1" t="s">
        <v>110</v>
      </c>
      <c r="B31" s="4" t="s">
        <v>111</v>
      </c>
      <c r="C31" s="4">
        <v>69</v>
      </c>
      <c r="D31" s="4" t="s">
        <v>112</v>
      </c>
      <c r="E31" s="12" t="s">
        <v>232</v>
      </c>
      <c r="F31" s="12">
        <v>1</v>
      </c>
      <c r="G31" s="4">
        <v>3</v>
      </c>
      <c r="H31" s="8">
        <v>45797</v>
      </c>
      <c r="I31" s="5">
        <v>45804</v>
      </c>
      <c r="J31" s="4" t="s">
        <v>83</v>
      </c>
      <c r="K31" s="4" t="s">
        <v>100</v>
      </c>
      <c r="L31" s="5">
        <v>45803</v>
      </c>
      <c r="M31" s="4" t="s">
        <v>178</v>
      </c>
      <c r="N31" s="7">
        <f t="shared" si="0"/>
        <v>45803</v>
      </c>
      <c r="O31" s="4"/>
      <c r="P31" s="4" t="s">
        <v>226</v>
      </c>
    </row>
    <row r="32" spans="1:16" ht="14.25" customHeight="1" x14ac:dyDescent="0.35">
      <c r="A32" s="1" t="s">
        <v>113</v>
      </c>
      <c r="B32" s="4" t="s">
        <v>114</v>
      </c>
      <c r="C32" s="4">
        <v>71</v>
      </c>
      <c r="D32" s="4" t="s">
        <v>115</v>
      </c>
      <c r="E32" s="12" t="s">
        <v>232</v>
      </c>
      <c r="F32" s="12">
        <v>1</v>
      </c>
      <c r="G32" s="4">
        <v>3</v>
      </c>
      <c r="H32" s="8">
        <v>45797</v>
      </c>
      <c r="I32" s="8">
        <v>45805</v>
      </c>
      <c r="J32" s="4" t="s">
        <v>116</v>
      </c>
      <c r="K32" s="4" t="s">
        <v>100</v>
      </c>
      <c r="L32" s="5">
        <v>45803</v>
      </c>
      <c r="M32" s="5">
        <v>45824</v>
      </c>
      <c r="N32" s="7">
        <f t="shared" si="0"/>
        <v>45804</v>
      </c>
      <c r="O32" s="4"/>
      <c r="P32" s="4"/>
    </row>
    <row r="33" spans="1:16" ht="14.25" customHeight="1" x14ac:dyDescent="0.35">
      <c r="A33" s="1" t="s">
        <v>117</v>
      </c>
      <c r="B33" s="4" t="s">
        <v>118</v>
      </c>
      <c r="C33" s="4">
        <v>71.2</v>
      </c>
      <c r="D33" s="4" t="s">
        <v>115</v>
      </c>
      <c r="E33" s="12" t="s">
        <v>231</v>
      </c>
      <c r="F33" s="12">
        <v>2</v>
      </c>
      <c r="G33" s="4">
        <v>3</v>
      </c>
      <c r="H33" s="5">
        <v>45822</v>
      </c>
      <c r="I33" s="5">
        <v>45826</v>
      </c>
      <c r="J33" s="4" t="s">
        <v>13</v>
      </c>
      <c r="K33" s="4" t="s">
        <v>100</v>
      </c>
      <c r="L33" s="5">
        <v>45803</v>
      </c>
      <c r="M33" s="5">
        <v>45824</v>
      </c>
      <c r="N33" s="7">
        <f t="shared" si="0"/>
        <v>45825</v>
      </c>
      <c r="O33" s="4"/>
      <c r="P33" s="4" t="s">
        <v>119</v>
      </c>
    </row>
    <row r="34" spans="1:16" ht="14.25" customHeight="1" x14ac:dyDescent="0.35">
      <c r="A34" s="1" t="s">
        <v>120</v>
      </c>
      <c r="B34" s="4" t="s">
        <v>121</v>
      </c>
      <c r="C34" s="4">
        <v>73</v>
      </c>
      <c r="D34" s="4" t="s">
        <v>122</v>
      </c>
      <c r="E34" s="12" t="s">
        <v>232</v>
      </c>
      <c r="F34" s="12">
        <v>1</v>
      </c>
      <c r="G34" s="4">
        <v>3</v>
      </c>
      <c r="H34" s="8">
        <v>45797</v>
      </c>
      <c r="I34" s="5">
        <v>45797</v>
      </c>
      <c r="J34" s="4" t="s">
        <v>83</v>
      </c>
      <c r="K34" s="15" t="s">
        <v>237</v>
      </c>
      <c r="L34" s="5">
        <v>45803</v>
      </c>
      <c r="M34" s="5">
        <v>45824</v>
      </c>
      <c r="N34" s="7">
        <f t="shared" si="0"/>
        <v>45796</v>
      </c>
      <c r="O34" s="4"/>
      <c r="P34" s="4" t="s">
        <v>123</v>
      </c>
    </row>
    <row r="35" spans="1:16" ht="14.25" customHeight="1" x14ac:dyDescent="0.35">
      <c r="A35" s="1" t="s">
        <v>124</v>
      </c>
      <c r="B35" s="4" t="s">
        <v>125</v>
      </c>
      <c r="C35" s="4">
        <v>73.2</v>
      </c>
      <c r="D35" s="4" t="s">
        <v>122</v>
      </c>
      <c r="E35" s="12" t="s">
        <v>232</v>
      </c>
      <c r="F35" s="12">
        <v>1</v>
      </c>
      <c r="G35" s="4">
        <v>3</v>
      </c>
      <c r="H35" s="8">
        <v>45798</v>
      </c>
      <c r="I35" s="5">
        <v>45810</v>
      </c>
      <c r="J35" s="4" t="s">
        <v>83</v>
      </c>
      <c r="K35" s="15" t="s">
        <v>237</v>
      </c>
      <c r="L35" s="5">
        <v>45803</v>
      </c>
      <c r="M35" s="5">
        <v>45824</v>
      </c>
      <c r="N35" s="7">
        <f t="shared" si="0"/>
        <v>45809</v>
      </c>
      <c r="O35" s="4"/>
      <c r="P35" s="4" t="s">
        <v>218</v>
      </c>
    </row>
    <row r="36" spans="1:16" ht="14.25" customHeight="1" x14ac:dyDescent="0.35">
      <c r="A36" s="1" t="s">
        <v>126</v>
      </c>
      <c r="B36" s="4" t="s">
        <v>127</v>
      </c>
      <c r="C36" s="4">
        <v>73.3</v>
      </c>
      <c r="D36" s="4" t="s">
        <v>122</v>
      </c>
      <c r="E36" s="12" t="s">
        <v>231</v>
      </c>
      <c r="F36" s="12">
        <v>2</v>
      </c>
      <c r="G36" s="4">
        <v>3</v>
      </c>
      <c r="H36" s="5">
        <v>45822</v>
      </c>
      <c r="I36" s="5">
        <v>45822</v>
      </c>
      <c r="J36" s="4" t="s">
        <v>13</v>
      </c>
      <c r="K36" s="15" t="s">
        <v>237</v>
      </c>
      <c r="L36" s="5">
        <v>45803</v>
      </c>
      <c r="M36" s="5">
        <v>45824</v>
      </c>
      <c r="N36" s="7">
        <v>45823</v>
      </c>
      <c r="O36" s="4"/>
      <c r="P36" s="4" t="s">
        <v>128</v>
      </c>
    </row>
    <row r="37" spans="1:16" ht="14.25" customHeight="1" x14ac:dyDescent="0.35">
      <c r="A37" s="1" t="s">
        <v>129</v>
      </c>
      <c r="B37" s="4" t="s">
        <v>130</v>
      </c>
      <c r="C37" s="4">
        <v>73.400000000000006</v>
      </c>
      <c r="D37" s="4" t="s">
        <v>122</v>
      </c>
      <c r="E37" s="12" t="s">
        <v>231</v>
      </c>
      <c r="F37" s="12">
        <v>2</v>
      </c>
      <c r="G37" s="4">
        <v>3</v>
      </c>
      <c r="H37" s="5">
        <v>45823</v>
      </c>
      <c r="I37" s="5">
        <v>45826</v>
      </c>
      <c r="J37" s="4" t="s">
        <v>13</v>
      </c>
      <c r="K37" s="15" t="s">
        <v>237</v>
      </c>
      <c r="L37" s="5">
        <v>45803</v>
      </c>
      <c r="M37" s="5">
        <v>45824</v>
      </c>
      <c r="N37" s="7">
        <f t="shared" si="0"/>
        <v>45825</v>
      </c>
      <c r="O37" s="4" t="s">
        <v>75</v>
      </c>
      <c r="P37" s="4" t="s">
        <v>109</v>
      </c>
    </row>
    <row r="38" spans="1:16" ht="14.25" customHeight="1" x14ac:dyDescent="0.35">
      <c r="A38" s="1"/>
      <c r="B38" s="4"/>
      <c r="C38" s="12">
        <v>73.900000000000006</v>
      </c>
      <c r="D38" s="4" t="s">
        <v>122</v>
      </c>
      <c r="E38" s="12" t="s">
        <v>231</v>
      </c>
      <c r="F38" s="12">
        <v>2</v>
      </c>
      <c r="G38" s="4">
        <v>3</v>
      </c>
      <c r="H38" s="5">
        <v>45822</v>
      </c>
      <c r="I38" s="5">
        <v>45826</v>
      </c>
      <c r="J38" s="4" t="s">
        <v>13</v>
      </c>
      <c r="K38" s="15" t="s">
        <v>237</v>
      </c>
      <c r="L38" s="5">
        <v>45803</v>
      </c>
      <c r="M38" s="5">
        <v>45824</v>
      </c>
      <c r="N38" s="7">
        <f t="shared" si="0"/>
        <v>45825</v>
      </c>
      <c r="O38" s="4"/>
      <c r="P38" s="11" t="s">
        <v>229</v>
      </c>
    </row>
    <row r="39" spans="1:16" ht="14.25" customHeight="1" x14ac:dyDescent="0.35">
      <c r="A39" s="1" t="s">
        <v>131</v>
      </c>
      <c r="B39" s="4" t="s">
        <v>132</v>
      </c>
      <c r="C39" s="10">
        <v>74.099999999999994</v>
      </c>
      <c r="D39" s="4" t="s">
        <v>133</v>
      </c>
      <c r="E39" s="12" t="s">
        <v>232</v>
      </c>
      <c r="F39" s="12">
        <v>1</v>
      </c>
      <c r="G39" s="4">
        <v>3</v>
      </c>
      <c r="H39" s="8">
        <v>45797</v>
      </c>
      <c r="I39" s="5">
        <v>45810</v>
      </c>
      <c r="J39" s="4" t="s">
        <v>13</v>
      </c>
      <c r="K39" s="15" t="s">
        <v>237</v>
      </c>
      <c r="L39" s="5">
        <v>45803</v>
      </c>
      <c r="M39" s="5">
        <v>45824</v>
      </c>
      <c r="N39" s="7">
        <f t="shared" si="0"/>
        <v>45809</v>
      </c>
      <c r="O39" s="4"/>
      <c r="P39" s="4"/>
    </row>
    <row r="40" spans="1:16" ht="14.25" customHeight="1" x14ac:dyDescent="0.35">
      <c r="A40" s="1" t="s">
        <v>134</v>
      </c>
      <c r="B40" s="4" t="s">
        <v>135</v>
      </c>
      <c r="C40" s="4">
        <v>74.2</v>
      </c>
      <c r="D40" s="4" t="s">
        <v>133</v>
      </c>
      <c r="E40" s="12" t="s">
        <v>231</v>
      </c>
      <c r="F40" s="12">
        <v>2</v>
      </c>
      <c r="G40" s="4">
        <v>3</v>
      </c>
      <c r="H40" s="5">
        <v>45822</v>
      </c>
      <c r="I40" s="5">
        <v>45826</v>
      </c>
      <c r="J40" s="4" t="s">
        <v>13</v>
      </c>
      <c r="K40" s="15" t="s">
        <v>237</v>
      </c>
      <c r="L40" s="5">
        <v>45803</v>
      </c>
      <c r="M40" s="5">
        <v>45824</v>
      </c>
      <c r="N40" s="7">
        <f t="shared" si="0"/>
        <v>45825</v>
      </c>
      <c r="O40" s="4"/>
      <c r="P40" s="4" t="s">
        <v>136</v>
      </c>
    </row>
    <row r="41" spans="1:16" ht="14.25" customHeight="1" x14ac:dyDescent="0.35">
      <c r="A41" s="1" t="s">
        <v>137</v>
      </c>
      <c r="B41" s="4" t="s">
        <v>138</v>
      </c>
      <c r="C41" s="4">
        <v>75</v>
      </c>
      <c r="D41" s="4" t="s">
        <v>139</v>
      </c>
      <c r="E41" s="12" t="s">
        <v>232</v>
      </c>
      <c r="F41" s="12">
        <v>1</v>
      </c>
      <c r="G41" s="4">
        <v>3</v>
      </c>
      <c r="H41" s="8">
        <v>45797</v>
      </c>
      <c r="I41" s="5">
        <v>12927</v>
      </c>
      <c r="J41" s="4" t="s">
        <v>83</v>
      </c>
      <c r="K41" s="4" t="s">
        <v>100</v>
      </c>
      <c r="L41" s="5">
        <v>45803</v>
      </c>
      <c r="M41" s="4" t="s">
        <v>178</v>
      </c>
      <c r="N41" s="7">
        <f t="shared" si="0"/>
        <v>12926</v>
      </c>
      <c r="O41" s="4"/>
      <c r="P41" s="4" t="s">
        <v>225</v>
      </c>
    </row>
    <row r="42" spans="1:16" ht="14.25" customHeight="1" x14ac:dyDescent="0.35">
      <c r="A42" s="1" t="s">
        <v>140</v>
      </c>
      <c r="B42" s="4" t="s">
        <v>141</v>
      </c>
      <c r="C42" s="4">
        <v>76</v>
      </c>
      <c r="D42" s="4" t="s">
        <v>142</v>
      </c>
      <c r="E42" s="12" t="s">
        <v>232</v>
      </c>
      <c r="F42" s="12">
        <v>1</v>
      </c>
      <c r="G42" s="4">
        <v>3</v>
      </c>
      <c r="H42" s="8">
        <v>45797</v>
      </c>
      <c r="I42" s="5">
        <v>45811</v>
      </c>
      <c r="J42" s="4" t="s">
        <v>83</v>
      </c>
      <c r="K42" s="15" t="s">
        <v>237</v>
      </c>
      <c r="L42" s="5">
        <v>45803</v>
      </c>
      <c r="M42" s="5">
        <v>45824</v>
      </c>
      <c r="N42" s="7">
        <f t="shared" si="0"/>
        <v>45810</v>
      </c>
      <c r="O42" s="4"/>
      <c r="P42" s="4"/>
    </row>
    <row r="43" spans="1:16" ht="14.25" customHeight="1" x14ac:dyDescent="0.35">
      <c r="A43" s="1" t="s">
        <v>143</v>
      </c>
      <c r="B43" s="4" t="s">
        <v>144</v>
      </c>
      <c r="C43" s="4">
        <v>76.2</v>
      </c>
      <c r="D43" s="4" t="s">
        <v>142</v>
      </c>
      <c r="E43" s="12" t="s">
        <v>231</v>
      </c>
      <c r="F43" s="12">
        <v>2</v>
      </c>
      <c r="G43" s="4">
        <v>3</v>
      </c>
      <c r="H43" s="5">
        <v>45822</v>
      </c>
      <c r="I43" s="5">
        <v>45826</v>
      </c>
      <c r="J43" s="4" t="s">
        <v>13</v>
      </c>
      <c r="K43" s="15" t="s">
        <v>237</v>
      </c>
      <c r="L43" s="5">
        <v>45803</v>
      </c>
      <c r="M43" s="5">
        <v>45824</v>
      </c>
      <c r="N43" s="7">
        <f t="shared" si="0"/>
        <v>45825</v>
      </c>
      <c r="O43" s="4"/>
      <c r="P43" s="4" t="s">
        <v>145</v>
      </c>
    </row>
    <row r="44" spans="1:16" ht="14.25" customHeight="1" x14ac:dyDescent="0.35">
      <c r="A44" s="1" t="s">
        <v>146</v>
      </c>
      <c r="B44" s="4" t="s">
        <v>147</v>
      </c>
      <c r="C44" s="4">
        <v>78</v>
      </c>
      <c r="D44" s="4" t="s">
        <v>148</v>
      </c>
      <c r="E44" s="12" t="s">
        <v>232</v>
      </c>
      <c r="F44" s="12">
        <v>1</v>
      </c>
      <c r="G44" s="4">
        <v>3</v>
      </c>
      <c r="H44" s="8">
        <v>45797</v>
      </c>
      <c r="I44" s="8">
        <v>45802</v>
      </c>
      <c r="J44" s="4" t="s">
        <v>83</v>
      </c>
      <c r="K44" s="15" t="s">
        <v>237</v>
      </c>
      <c r="L44" s="5">
        <v>45803</v>
      </c>
      <c r="M44" s="5">
        <v>45824</v>
      </c>
      <c r="N44" s="7">
        <f t="shared" si="0"/>
        <v>45801</v>
      </c>
      <c r="O44" s="4"/>
      <c r="P44" s="4"/>
    </row>
    <row r="45" spans="1:16" ht="14.25" customHeight="1" x14ac:dyDescent="0.35">
      <c r="A45" s="1" t="s">
        <v>149</v>
      </c>
      <c r="B45" s="4" t="s">
        <v>150</v>
      </c>
      <c r="C45" s="4">
        <v>78.2</v>
      </c>
      <c r="D45" s="4" t="s">
        <v>148</v>
      </c>
      <c r="E45" s="12" t="s">
        <v>231</v>
      </c>
      <c r="F45" s="12">
        <v>2</v>
      </c>
      <c r="G45" s="4">
        <v>3</v>
      </c>
      <c r="H45" s="5">
        <v>45822</v>
      </c>
      <c r="I45" s="5">
        <v>45823</v>
      </c>
      <c r="J45" s="4" t="s">
        <v>13</v>
      </c>
      <c r="K45" s="15" t="s">
        <v>237</v>
      </c>
      <c r="L45" s="5">
        <v>45803</v>
      </c>
      <c r="M45" s="5">
        <v>45824</v>
      </c>
      <c r="N45" s="7">
        <f t="shared" si="0"/>
        <v>45822</v>
      </c>
      <c r="O45" s="4"/>
      <c r="P45" s="4" t="s">
        <v>151</v>
      </c>
    </row>
    <row r="46" spans="1:16" ht="14.25" customHeight="1" x14ac:dyDescent="0.35">
      <c r="A46" s="1" t="s">
        <v>54</v>
      </c>
      <c r="B46" s="4" t="s">
        <v>55</v>
      </c>
      <c r="C46" s="4">
        <v>78.3</v>
      </c>
      <c r="D46" s="4" t="s">
        <v>148</v>
      </c>
      <c r="E46" s="12" t="s">
        <v>231</v>
      </c>
      <c r="F46" s="12">
        <v>2</v>
      </c>
      <c r="G46" s="4">
        <v>3</v>
      </c>
      <c r="H46" s="5">
        <v>45823</v>
      </c>
      <c r="I46" s="5">
        <v>45826</v>
      </c>
      <c r="J46" s="4" t="s">
        <v>13</v>
      </c>
      <c r="K46" s="15" t="s">
        <v>237</v>
      </c>
      <c r="L46" s="5">
        <v>45803</v>
      </c>
      <c r="M46" s="5">
        <v>45824</v>
      </c>
      <c r="N46" s="7">
        <f t="shared" si="0"/>
        <v>45825</v>
      </c>
      <c r="O46" s="4"/>
      <c r="P46" s="4" t="s">
        <v>152</v>
      </c>
    </row>
    <row r="47" spans="1:16" ht="14.25" customHeight="1" x14ac:dyDescent="0.35">
      <c r="A47" s="1"/>
      <c r="B47" s="4"/>
      <c r="C47" s="11">
        <v>78.900000000000006</v>
      </c>
      <c r="D47" s="4" t="s">
        <v>148</v>
      </c>
      <c r="E47" s="12" t="s">
        <v>231</v>
      </c>
      <c r="F47" s="12">
        <v>2</v>
      </c>
      <c r="G47" s="4">
        <v>3</v>
      </c>
      <c r="H47" s="5">
        <v>45822</v>
      </c>
      <c r="I47" s="5">
        <v>45826</v>
      </c>
      <c r="J47" s="4" t="s">
        <v>13</v>
      </c>
      <c r="K47" s="15" t="s">
        <v>237</v>
      </c>
      <c r="L47" s="5">
        <v>45803</v>
      </c>
      <c r="M47" s="5">
        <v>45824</v>
      </c>
      <c r="N47" s="7">
        <f t="shared" si="0"/>
        <v>45825</v>
      </c>
      <c r="O47" s="4"/>
      <c r="P47" s="11" t="s">
        <v>229</v>
      </c>
    </row>
    <row r="48" spans="1:16" ht="14.25" customHeight="1" x14ac:dyDescent="0.35">
      <c r="A48" s="1" t="s">
        <v>153</v>
      </c>
      <c r="B48" s="4" t="s">
        <v>154</v>
      </c>
      <c r="C48" s="10">
        <v>79</v>
      </c>
      <c r="D48" s="4" t="s">
        <v>155</v>
      </c>
      <c r="E48" s="12" t="s">
        <v>232</v>
      </c>
      <c r="F48" s="12">
        <v>1</v>
      </c>
      <c r="G48" s="4">
        <v>3</v>
      </c>
      <c r="H48" s="8">
        <v>45797</v>
      </c>
      <c r="I48" s="5">
        <v>45803</v>
      </c>
      <c r="J48" s="4" t="s">
        <v>13</v>
      </c>
      <c r="K48" s="4" t="s">
        <v>100</v>
      </c>
      <c r="L48" s="5">
        <v>45803</v>
      </c>
      <c r="M48" s="4" t="s">
        <v>178</v>
      </c>
      <c r="N48" s="7">
        <f t="shared" si="0"/>
        <v>45802</v>
      </c>
      <c r="O48" s="4"/>
      <c r="P48" s="4" t="s">
        <v>220</v>
      </c>
    </row>
    <row r="49" spans="1:16" ht="14.25" customHeight="1" x14ac:dyDescent="0.35">
      <c r="A49" s="1" t="s">
        <v>156</v>
      </c>
      <c r="B49" s="4" t="s">
        <v>157</v>
      </c>
      <c r="C49" s="10">
        <v>80</v>
      </c>
      <c r="D49" s="4" t="s">
        <v>158</v>
      </c>
      <c r="E49" s="12" t="s">
        <v>232</v>
      </c>
      <c r="F49" s="12">
        <v>1</v>
      </c>
      <c r="G49" s="4">
        <v>3</v>
      </c>
      <c r="H49" s="8">
        <v>45797</v>
      </c>
      <c r="I49" s="5">
        <v>45803</v>
      </c>
      <c r="J49" s="4" t="s">
        <v>13</v>
      </c>
      <c r="K49" s="4" t="s">
        <v>100</v>
      </c>
      <c r="L49" s="5">
        <v>45803</v>
      </c>
      <c r="M49" s="4" t="s">
        <v>178</v>
      </c>
      <c r="N49" s="7">
        <f t="shared" si="0"/>
        <v>45802</v>
      </c>
      <c r="O49" s="4"/>
      <c r="P49" s="4" t="s">
        <v>221</v>
      </c>
    </row>
    <row r="50" spans="1:16" ht="14.25" customHeight="1" x14ac:dyDescent="0.35">
      <c r="A50" s="1" t="s">
        <v>159</v>
      </c>
      <c r="B50" s="4" t="s">
        <v>160</v>
      </c>
      <c r="C50" s="4">
        <v>81</v>
      </c>
      <c r="D50" s="4" t="s">
        <v>161</v>
      </c>
      <c r="E50" s="12" t="s">
        <v>232</v>
      </c>
      <c r="F50" s="12">
        <v>1</v>
      </c>
      <c r="G50" s="4">
        <v>3</v>
      </c>
      <c r="H50" s="8">
        <v>45797</v>
      </c>
      <c r="I50" s="5">
        <v>45802</v>
      </c>
      <c r="J50" s="4" t="s">
        <v>83</v>
      </c>
      <c r="K50" s="4" t="s">
        <v>100</v>
      </c>
      <c r="L50" s="5">
        <v>45803</v>
      </c>
      <c r="M50" s="4" t="s">
        <v>178</v>
      </c>
      <c r="N50" s="7">
        <f t="shared" si="0"/>
        <v>45801</v>
      </c>
      <c r="O50" s="4"/>
      <c r="P50" s="4"/>
    </row>
    <row r="51" spans="1:16" ht="14.25" customHeight="1" x14ac:dyDescent="0.35">
      <c r="A51" s="1" t="s">
        <v>162</v>
      </c>
      <c r="B51" s="4" t="s">
        <v>163</v>
      </c>
      <c r="C51" s="4">
        <v>83</v>
      </c>
      <c r="D51" s="4" t="s">
        <v>164</v>
      </c>
      <c r="E51" s="12" t="s">
        <v>232</v>
      </c>
      <c r="F51" s="12">
        <v>1</v>
      </c>
      <c r="G51" s="4">
        <v>3</v>
      </c>
      <c r="H51" s="8">
        <v>45797</v>
      </c>
      <c r="I51" s="5">
        <v>45814</v>
      </c>
      <c r="J51" s="4" t="s">
        <v>83</v>
      </c>
      <c r="K51" s="15" t="s">
        <v>237</v>
      </c>
      <c r="L51" s="5">
        <v>45803</v>
      </c>
      <c r="M51" s="5">
        <v>45824</v>
      </c>
      <c r="N51" s="7">
        <f t="shared" si="0"/>
        <v>45813</v>
      </c>
      <c r="O51" s="4"/>
      <c r="P51" s="4"/>
    </row>
    <row r="52" spans="1:16" ht="14.25" customHeight="1" x14ac:dyDescent="0.35">
      <c r="A52" s="1" t="s">
        <v>165</v>
      </c>
      <c r="B52" s="4" t="s">
        <v>166</v>
      </c>
      <c r="C52" s="4">
        <v>83.2</v>
      </c>
      <c r="D52" s="4" t="s">
        <v>164</v>
      </c>
      <c r="E52" s="12" t="s">
        <v>231</v>
      </c>
      <c r="F52" s="12">
        <v>2</v>
      </c>
      <c r="G52" s="4">
        <v>3</v>
      </c>
      <c r="H52" s="5">
        <v>45822</v>
      </c>
      <c r="I52" s="5">
        <v>45826</v>
      </c>
      <c r="J52" s="4" t="s">
        <v>13</v>
      </c>
      <c r="K52" s="15" t="s">
        <v>237</v>
      </c>
      <c r="L52" s="5">
        <v>45803</v>
      </c>
      <c r="M52" s="5">
        <v>45824</v>
      </c>
      <c r="N52" s="7">
        <f t="shared" si="0"/>
        <v>45825</v>
      </c>
      <c r="O52" s="4" t="s">
        <v>75</v>
      </c>
      <c r="P52" s="4" t="s">
        <v>167</v>
      </c>
    </row>
    <row r="53" spans="1:16" ht="14.25" customHeight="1" x14ac:dyDescent="0.35">
      <c r="A53" s="1" t="s">
        <v>168</v>
      </c>
      <c r="B53" s="4" t="s">
        <v>169</v>
      </c>
      <c r="C53" s="4">
        <v>86</v>
      </c>
      <c r="D53" s="4" t="s">
        <v>170</v>
      </c>
      <c r="E53" s="12" t="s">
        <v>232</v>
      </c>
      <c r="F53" s="12">
        <v>1</v>
      </c>
      <c r="G53" s="4">
        <v>3</v>
      </c>
      <c r="H53" s="8">
        <v>45797</v>
      </c>
      <c r="I53" s="5">
        <v>45808</v>
      </c>
      <c r="J53" s="4" t="s">
        <v>83</v>
      </c>
      <c r="K53" s="15" t="s">
        <v>237</v>
      </c>
      <c r="L53" s="5">
        <v>45803</v>
      </c>
      <c r="M53" s="4" t="s">
        <v>178</v>
      </c>
      <c r="N53" s="7">
        <f t="shared" si="0"/>
        <v>45807</v>
      </c>
      <c r="O53" s="4"/>
      <c r="P53" s="4" t="s">
        <v>222</v>
      </c>
    </row>
    <row r="54" spans="1:16" ht="14.25" customHeight="1" x14ac:dyDescent="0.35">
      <c r="A54" s="1" t="s">
        <v>171</v>
      </c>
      <c r="B54" s="4" t="s">
        <v>172</v>
      </c>
      <c r="C54" s="4">
        <v>87</v>
      </c>
      <c r="D54" s="4" t="s">
        <v>173</v>
      </c>
      <c r="E54" s="12" t="s">
        <v>232</v>
      </c>
      <c r="F54" s="12">
        <v>1</v>
      </c>
      <c r="G54" s="4">
        <v>3</v>
      </c>
      <c r="H54" s="8">
        <v>45797</v>
      </c>
      <c r="I54" s="5">
        <v>45802</v>
      </c>
      <c r="J54" s="4" t="s">
        <v>83</v>
      </c>
      <c r="K54" s="4" t="s">
        <v>100</v>
      </c>
      <c r="L54" s="5">
        <v>45803</v>
      </c>
      <c r="M54" s="5">
        <v>45824</v>
      </c>
      <c r="N54" s="7">
        <f t="shared" si="0"/>
        <v>45801</v>
      </c>
      <c r="O54" s="4"/>
      <c r="P54" s="4"/>
    </row>
    <row r="55" spans="1:16" ht="14.25" customHeight="1" x14ac:dyDescent="0.35">
      <c r="A55" s="1" t="s">
        <v>174</v>
      </c>
      <c r="B55" s="4" t="s">
        <v>175</v>
      </c>
      <c r="C55" s="4">
        <v>87.2</v>
      </c>
      <c r="D55" s="4" t="s">
        <v>173</v>
      </c>
      <c r="E55" s="12" t="s">
        <v>231</v>
      </c>
      <c r="F55" s="12">
        <v>2</v>
      </c>
      <c r="G55" s="4">
        <v>3</v>
      </c>
      <c r="H55" s="5">
        <v>45822</v>
      </c>
      <c r="I55" s="5">
        <v>45826</v>
      </c>
      <c r="J55" s="4" t="s">
        <v>13</v>
      </c>
      <c r="K55" s="4" t="s">
        <v>100</v>
      </c>
      <c r="L55" s="5">
        <v>45803</v>
      </c>
      <c r="M55" s="5">
        <v>45824</v>
      </c>
      <c r="N55" s="7">
        <f t="shared" si="0"/>
        <v>45825</v>
      </c>
      <c r="O55" s="4"/>
      <c r="P55" s="4" t="s">
        <v>217</v>
      </c>
    </row>
    <row r="56" spans="1:16" ht="14.25" customHeight="1" x14ac:dyDescent="0.35">
      <c r="A56" s="1" t="s">
        <v>176</v>
      </c>
      <c r="B56" s="4" t="s">
        <v>177</v>
      </c>
      <c r="C56" s="4" t="s">
        <v>178</v>
      </c>
      <c r="D56" s="4" t="s">
        <v>178</v>
      </c>
      <c r="E56" s="4"/>
      <c r="F56" s="12">
        <v>2</v>
      </c>
      <c r="G56" s="4">
        <v>1</v>
      </c>
      <c r="H56" s="4"/>
      <c r="I56" s="4"/>
      <c r="J56" s="4" t="s">
        <v>13</v>
      </c>
      <c r="K56" s="4"/>
      <c r="L56" s="4"/>
      <c r="M56" s="4"/>
      <c r="N56" s="7"/>
      <c r="O56" s="4"/>
      <c r="P56" s="4" t="s">
        <v>179</v>
      </c>
    </row>
    <row r="57" spans="1:16" ht="14.25" customHeight="1" x14ac:dyDescent="0.35">
      <c r="A57" s="1" t="s">
        <v>180</v>
      </c>
      <c r="B57" s="4" t="s">
        <v>181</v>
      </c>
      <c r="C57" s="4" t="s">
        <v>178</v>
      </c>
      <c r="D57" s="4" t="s">
        <v>178</v>
      </c>
      <c r="E57" s="4"/>
      <c r="F57" s="12">
        <v>2</v>
      </c>
      <c r="G57" s="4">
        <v>1</v>
      </c>
      <c r="H57" s="4"/>
      <c r="I57" s="4"/>
      <c r="J57" s="4" t="s">
        <v>13</v>
      </c>
      <c r="K57" s="4"/>
      <c r="L57" s="4"/>
      <c r="M57" s="4"/>
      <c r="N57" s="7"/>
      <c r="O57" s="4"/>
      <c r="P57" s="4" t="s">
        <v>179</v>
      </c>
    </row>
    <row r="58" spans="1:16" ht="14.25" customHeight="1" x14ac:dyDescent="0.35">
      <c r="A58" s="1" t="s">
        <v>182</v>
      </c>
      <c r="B58" s="4" t="s">
        <v>183</v>
      </c>
      <c r="C58" s="4" t="s">
        <v>178</v>
      </c>
      <c r="D58" s="4" t="s">
        <v>178</v>
      </c>
      <c r="E58" s="4"/>
      <c r="F58" s="12">
        <v>2</v>
      </c>
      <c r="G58" s="4">
        <v>2</v>
      </c>
      <c r="H58" s="4"/>
      <c r="I58" s="4"/>
      <c r="J58" s="4" t="s">
        <v>13</v>
      </c>
      <c r="K58" s="4"/>
      <c r="L58" s="4"/>
      <c r="M58" s="4"/>
      <c r="N58" s="7"/>
      <c r="O58" s="4"/>
      <c r="P58" s="4" t="s">
        <v>179</v>
      </c>
    </row>
    <row r="59" spans="1:16" ht="14.25" customHeight="1" x14ac:dyDescent="0.35">
      <c r="A59" s="1" t="s">
        <v>184</v>
      </c>
      <c r="B59" s="4" t="s">
        <v>185</v>
      </c>
      <c r="C59" s="4"/>
      <c r="D59" s="4"/>
      <c r="E59" s="4"/>
      <c r="F59" s="12">
        <v>2</v>
      </c>
      <c r="G59" s="4">
        <v>2</v>
      </c>
      <c r="H59" s="4"/>
      <c r="I59" s="4"/>
      <c r="J59" s="4"/>
      <c r="K59" s="4"/>
      <c r="L59" s="4"/>
      <c r="M59" s="4"/>
      <c r="N59" s="7"/>
      <c r="O59" s="4"/>
      <c r="P59" s="4"/>
    </row>
    <row r="60" spans="1:16" ht="14.25" customHeight="1" x14ac:dyDescent="0.35">
      <c r="N60" s="7"/>
    </row>
    <row r="61" spans="1:16" ht="14.25" customHeight="1" x14ac:dyDescent="0.35">
      <c r="N61" s="7"/>
    </row>
    <row r="62" spans="1:16" ht="14.25" customHeight="1" x14ac:dyDescent="0.35">
      <c r="N62" s="7"/>
    </row>
    <row r="63" spans="1:16" ht="14.25" customHeight="1" x14ac:dyDescent="0.35">
      <c r="N63" s="7"/>
    </row>
    <row r="64" spans="1:16" ht="14.25" customHeight="1" x14ac:dyDescent="0.35">
      <c r="N64" s="7"/>
    </row>
    <row r="65" spans="14:14" ht="14.25" customHeight="1" x14ac:dyDescent="0.35">
      <c r="N65" s="7"/>
    </row>
    <row r="66" spans="14:14" ht="14.25" customHeight="1" x14ac:dyDescent="0.35">
      <c r="N66" s="7"/>
    </row>
    <row r="67" spans="14:14" ht="14.25" customHeight="1" x14ac:dyDescent="0.35">
      <c r="N67" s="7"/>
    </row>
    <row r="68" spans="14:14" ht="14.25" customHeight="1" x14ac:dyDescent="0.35">
      <c r="N68" s="7"/>
    </row>
    <row r="69" spans="14:14" ht="14.25" customHeight="1" x14ac:dyDescent="0.35">
      <c r="N69" s="7"/>
    </row>
    <row r="70" spans="14:14" ht="14.25" customHeight="1" x14ac:dyDescent="0.35">
      <c r="N70" s="7"/>
    </row>
    <row r="71" spans="14:14" ht="14.25" customHeight="1" x14ac:dyDescent="0.35">
      <c r="N71" s="7"/>
    </row>
    <row r="72" spans="14:14" ht="14.25" customHeight="1" x14ac:dyDescent="0.35">
      <c r="N72" s="7"/>
    </row>
    <row r="73" spans="14:14" ht="14.25" customHeight="1" x14ac:dyDescent="0.35">
      <c r="N73" s="7"/>
    </row>
    <row r="74" spans="14:14" ht="14.25" customHeight="1" x14ac:dyDescent="0.35">
      <c r="N74" s="7"/>
    </row>
    <row r="75" spans="14:14" ht="14.25" customHeight="1" x14ac:dyDescent="0.35">
      <c r="N75" s="7"/>
    </row>
    <row r="76" spans="14:14" ht="14.25" customHeight="1" x14ac:dyDescent="0.35">
      <c r="N76" s="7"/>
    </row>
    <row r="77" spans="14:14" ht="14.25" customHeight="1" x14ac:dyDescent="0.35">
      <c r="N77" s="7"/>
    </row>
    <row r="78" spans="14:14" ht="14.25" customHeight="1" x14ac:dyDescent="0.35">
      <c r="N78" s="7"/>
    </row>
    <row r="79" spans="14:14" ht="14.25" customHeight="1" x14ac:dyDescent="0.35">
      <c r="N79" s="7"/>
    </row>
    <row r="80" spans="14:14" ht="14.25" customHeight="1" x14ac:dyDescent="0.35">
      <c r="N80" s="7"/>
    </row>
    <row r="81" spans="14:14" ht="14.25" customHeight="1" x14ac:dyDescent="0.35">
      <c r="N81" s="7"/>
    </row>
    <row r="82" spans="14:14" ht="14.25" customHeight="1" x14ac:dyDescent="0.35">
      <c r="N82" s="7"/>
    </row>
    <row r="83" spans="14:14" ht="14.25" customHeight="1" x14ac:dyDescent="0.35">
      <c r="N83" s="7"/>
    </row>
    <row r="84" spans="14:14" ht="14.25" customHeight="1" x14ac:dyDescent="0.35">
      <c r="N84" s="7"/>
    </row>
    <row r="85" spans="14:14" ht="14.25" customHeight="1" x14ac:dyDescent="0.35">
      <c r="N85" s="7"/>
    </row>
    <row r="86" spans="14:14" ht="14.25" customHeight="1" x14ac:dyDescent="0.35">
      <c r="N86" s="7"/>
    </row>
    <row r="87" spans="14:14" ht="14.25" customHeight="1" x14ac:dyDescent="0.35">
      <c r="N87" s="7"/>
    </row>
    <row r="88" spans="14:14" ht="14.25" customHeight="1" x14ac:dyDescent="0.35">
      <c r="N88" s="7"/>
    </row>
    <row r="89" spans="14:14" ht="14.25" customHeight="1" x14ac:dyDescent="0.35">
      <c r="N89" s="7"/>
    </row>
    <row r="90" spans="14:14" ht="14.25" customHeight="1" x14ac:dyDescent="0.35">
      <c r="N90" s="7"/>
    </row>
    <row r="91" spans="14:14" ht="14.25" customHeight="1" x14ac:dyDescent="0.35">
      <c r="N91" s="7"/>
    </row>
    <row r="92" spans="14:14" ht="14.25" customHeight="1" x14ac:dyDescent="0.35">
      <c r="N92" s="7"/>
    </row>
    <row r="93" spans="14:14" ht="14.25" customHeight="1" x14ac:dyDescent="0.35">
      <c r="N93" s="7"/>
    </row>
    <row r="94" spans="14:14" ht="14.25" customHeight="1" x14ac:dyDescent="0.35">
      <c r="N94" s="7"/>
    </row>
    <row r="95" spans="14:14" ht="14.25" customHeight="1" x14ac:dyDescent="0.35">
      <c r="N95" s="7"/>
    </row>
    <row r="96" spans="14:14" ht="14.25" customHeight="1" x14ac:dyDescent="0.35">
      <c r="N96" s="7"/>
    </row>
    <row r="97" spans="14:14" ht="14.25" customHeight="1" x14ac:dyDescent="0.35">
      <c r="N97" s="7"/>
    </row>
    <row r="98" spans="14:14" ht="14.25" customHeight="1" x14ac:dyDescent="0.35">
      <c r="N98" s="7"/>
    </row>
    <row r="99" spans="14:14" ht="14.25" customHeight="1" x14ac:dyDescent="0.35">
      <c r="N99" s="7"/>
    </row>
    <row r="100" spans="14:14" ht="14.25" customHeight="1" x14ac:dyDescent="0.35">
      <c r="N100" s="7"/>
    </row>
    <row r="101" spans="14:14" ht="14.25" customHeight="1" x14ac:dyDescent="0.35">
      <c r="N101" s="7"/>
    </row>
    <row r="102" spans="14:14" ht="14.25" customHeight="1" x14ac:dyDescent="0.35">
      <c r="N102" s="7"/>
    </row>
    <row r="103" spans="14:14" ht="14.25" customHeight="1" x14ac:dyDescent="0.35">
      <c r="N103" s="7"/>
    </row>
    <row r="104" spans="14:14" ht="14.25" customHeight="1" x14ac:dyDescent="0.35">
      <c r="N104" s="7"/>
    </row>
    <row r="105" spans="14:14" ht="14.25" customHeight="1" x14ac:dyDescent="0.35">
      <c r="N105" s="7"/>
    </row>
    <row r="106" spans="14:14" ht="14.25" customHeight="1" x14ac:dyDescent="0.35">
      <c r="N106" s="7"/>
    </row>
    <row r="107" spans="14:14" ht="14.25" customHeight="1" x14ac:dyDescent="0.35">
      <c r="N107" s="7"/>
    </row>
    <row r="108" spans="14:14" ht="14.25" customHeight="1" x14ac:dyDescent="0.35">
      <c r="N108" s="7"/>
    </row>
    <row r="109" spans="14:14" ht="14.25" customHeight="1" x14ac:dyDescent="0.35">
      <c r="N109" s="7"/>
    </row>
    <row r="110" spans="14:14" ht="14.25" customHeight="1" x14ac:dyDescent="0.35">
      <c r="N110" s="7"/>
    </row>
    <row r="111" spans="14:14" ht="14.25" customHeight="1" x14ac:dyDescent="0.35">
      <c r="N111" s="7"/>
    </row>
    <row r="112" spans="14:14" ht="14.25" customHeight="1" x14ac:dyDescent="0.35">
      <c r="N112" s="7"/>
    </row>
    <row r="113" spans="14:14" ht="14.25" customHeight="1" x14ac:dyDescent="0.35">
      <c r="N113" s="7"/>
    </row>
    <row r="114" spans="14:14" ht="14.25" customHeight="1" x14ac:dyDescent="0.35">
      <c r="N114" s="7"/>
    </row>
    <row r="115" spans="14:14" ht="14.25" customHeight="1" x14ac:dyDescent="0.35">
      <c r="N115" s="7"/>
    </row>
    <row r="116" spans="14:14" ht="14.25" customHeight="1" x14ac:dyDescent="0.35">
      <c r="N116" s="7"/>
    </row>
    <row r="117" spans="14:14" ht="14.25" customHeight="1" x14ac:dyDescent="0.35">
      <c r="N117" s="7"/>
    </row>
    <row r="118" spans="14:14" ht="14.25" customHeight="1" x14ac:dyDescent="0.35">
      <c r="N118" s="7"/>
    </row>
    <row r="119" spans="14:14" ht="14.25" customHeight="1" x14ac:dyDescent="0.35">
      <c r="N119" s="7"/>
    </row>
    <row r="120" spans="14:14" ht="14.25" customHeight="1" x14ac:dyDescent="0.35">
      <c r="N120" s="7"/>
    </row>
    <row r="121" spans="14:14" ht="14.25" customHeight="1" x14ac:dyDescent="0.35">
      <c r="N121" s="7"/>
    </row>
    <row r="122" spans="14:14" ht="14.25" customHeight="1" x14ac:dyDescent="0.35">
      <c r="N122" s="7"/>
    </row>
    <row r="123" spans="14:14" ht="14.25" customHeight="1" x14ac:dyDescent="0.35">
      <c r="N123" s="7"/>
    </row>
    <row r="124" spans="14:14" ht="14.25" customHeight="1" x14ac:dyDescent="0.35">
      <c r="N124" s="7"/>
    </row>
    <row r="125" spans="14:14" ht="14.25" customHeight="1" x14ac:dyDescent="0.35">
      <c r="N125" s="7"/>
    </row>
    <row r="126" spans="14:14" ht="14.25" customHeight="1" x14ac:dyDescent="0.35">
      <c r="N126" s="7"/>
    </row>
    <row r="127" spans="14:14" ht="14.25" customHeight="1" x14ac:dyDescent="0.35">
      <c r="N127" s="7"/>
    </row>
    <row r="128" spans="14:14" ht="14.25" customHeight="1" x14ac:dyDescent="0.35">
      <c r="N128" s="7"/>
    </row>
    <row r="129" spans="14:14" ht="14.25" customHeight="1" x14ac:dyDescent="0.35">
      <c r="N129" s="7"/>
    </row>
    <row r="130" spans="14:14" ht="14.25" customHeight="1" x14ac:dyDescent="0.35">
      <c r="N130" s="7"/>
    </row>
    <row r="131" spans="14:14" ht="14.25" customHeight="1" x14ac:dyDescent="0.35">
      <c r="N131" s="7"/>
    </row>
    <row r="132" spans="14:14" ht="14.25" customHeight="1" x14ac:dyDescent="0.35">
      <c r="N132" s="7"/>
    </row>
    <row r="133" spans="14:14" ht="14.25" customHeight="1" x14ac:dyDescent="0.35">
      <c r="N133" s="7"/>
    </row>
    <row r="134" spans="14:14" ht="14.25" customHeight="1" x14ac:dyDescent="0.35">
      <c r="N134" s="7"/>
    </row>
    <row r="135" spans="14:14" ht="14.25" customHeight="1" x14ac:dyDescent="0.35">
      <c r="N135" s="7"/>
    </row>
    <row r="136" spans="14:14" ht="14.25" customHeight="1" x14ac:dyDescent="0.35">
      <c r="N136" s="7"/>
    </row>
    <row r="137" spans="14:14" ht="14.25" customHeight="1" x14ac:dyDescent="0.35">
      <c r="N137" s="7"/>
    </row>
    <row r="138" spans="14:14" ht="14.25" customHeight="1" x14ac:dyDescent="0.35">
      <c r="N138" s="7"/>
    </row>
    <row r="139" spans="14:14" ht="14.25" customHeight="1" x14ac:dyDescent="0.35">
      <c r="N139" s="7"/>
    </row>
    <row r="140" spans="14:14" ht="14.25" customHeight="1" x14ac:dyDescent="0.35">
      <c r="N140" s="7"/>
    </row>
    <row r="141" spans="14:14" ht="14.25" customHeight="1" x14ac:dyDescent="0.35">
      <c r="N141" s="7"/>
    </row>
    <row r="142" spans="14:14" ht="14.25" customHeight="1" x14ac:dyDescent="0.35">
      <c r="N142" s="7"/>
    </row>
    <row r="143" spans="14:14" ht="14.25" customHeight="1" x14ac:dyDescent="0.35">
      <c r="N143" s="7"/>
    </row>
    <row r="144" spans="14:14" ht="14.25" customHeight="1" x14ac:dyDescent="0.35">
      <c r="N144" s="7"/>
    </row>
    <row r="145" spans="14:14" ht="14.25" customHeight="1" x14ac:dyDescent="0.35">
      <c r="N145" s="7"/>
    </row>
    <row r="146" spans="14:14" ht="14.25" customHeight="1" x14ac:dyDescent="0.35">
      <c r="N146" s="7"/>
    </row>
    <row r="147" spans="14:14" ht="14.25" customHeight="1" x14ac:dyDescent="0.35">
      <c r="N147" s="7"/>
    </row>
    <row r="148" spans="14:14" ht="14.25" customHeight="1" x14ac:dyDescent="0.35">
      <c r="N148" s="7"/>
    </row>
    <row r="149" spans="14:14" ht="14.25" customHeight="1" x14ac:dyDescent="0.35">
      <c r="N149" s="7"/>
    </row>
    <row r="150" spans="14:14" ht="14.25" customHeight="1" x14ac:dyDescent="0.35">
      <c r="N150" s="7"/>
    </row>
    <row r="151" spans="14:14" ht="14.25" customHeight="1" x14ac:dyDescent="0.35">
      <c r="N151" s="7"/>
    </row>
    <row r="152" spans="14:14" ht="14.25" customHeight="1" x14ac:dyDescent="0.35">
      <c r="N152" s="7"/>
    </row>
    <row r="153" spans="14:14" ht="14.25" customHeight="1" x14ac:dyDescent="0.35">
      <c r="N153" s="7"/>
    </row>
    <row r="154" spans="14:14" ht="14.25" customHeight="1" x14ac:dyDescent="0.35">
      <c r="N154" s="7"/>
    </row>
    <row r="155" spans="14:14" ht="14.25" customHeight="1" x14ac:dyDescent="0.35">
      <c r="N155" s="7"/>
    </row>
    <row r="156" spans="14:14" ht="14.25" customHeight="1" x14ac:dyDescent="0.35">
      <c r="N156" s="7"/>
    </row>
    <row r="157" spans="14:14" ht="14.25" customHeight="1" x14ac:dyDescent="0.35">
      <c r="N157" s="7"/>
    </row>
    <row r="158" spans="14:14" ht="14.25" customHeight="1" x14ac:dyDescent="0.35">
      <c r="N158" s="7"/>
    </row>
    <row r="159" spans="14:14" ht="14.25" customHeight="1" x14ac:dyDescent="0.35">
      <c r="N159" s="7"/>
    </row>
    <row r="160" spans="14:14" ht="14.25" customHeight="1" x14ac:dyDescent="0.35">
      <c r="N160" s="7"/>
    </row>
    <row r="161" spans="14:14" ht="14.25" customHeight="1" x14ac:dyDescent="0.35">
      <c r="N161" s="7"/>
    </row>
    <row r="162" spans="14:14" ht="14.25" customHeight="1" x14ac:dyDescent="0.35">
      <c r="N162" s="7"/>
    </row>
    <row r="163" spans="14:14" ht="14.25" customHeight="1" x14ac:dyDescent="0.35">
      <c r="N163" s="7"/>
    </row>
    <row r="164" spans="14:14" ht="14.25" customHeight="1" x14ac:dyDescent="0.35">
      <c r="N164" s="7"/>
    </row>
    <row r="165" spans="14:14" ht="14.25" customHeight="1" x14ac:dyDescent="0.35">
      <c r="N165" s="7"/>
    </row>
    <row r="166" spans="14:14" ht="14.25" customHeight="1" x14ac:dyDescent="0.35">
      <c r="N166" s="7"/>
    </row>
    <row r="167" spans="14:14" ht="14.25" customHeight="1" x14ac:dyDescent="0.35">
      <c r="N167" s="7"/>
    </row>
    <row r="168" spans="14:14" ht="14.25" customHeight="1" x14ac:dyDescent="0.35">
      <c r="N168" s="7"/>
    </row>
    <row r="169" spans="14:14" ht="14.25" customHeight="1" x14ac:dyDescent="0.35">
      <c r="N169" s="7"/>
    </row>
    <row r="170" spans="14:14" ht="14.25" customHeight="1" x14ac:dyDescent="0.35">
      <c r="N170" s="7"/>
    </row>
    <row r="171" spans="14:14" ht="14.25" customHeight="1" x14ac:dyDescent="0.35">
      <c r="N171" s="7"/>
    </row>
    <row r="172" spans="14:14" ht="14.25" customHeight="1" x14ac:dyDescent="0.35">
      <c r="N172" s="7"/>
    </row>
    <row r="173" spans="14:14" ht="14.25" customHeight="1" x14ac:dyDescent="0.35">
      <c r="N173" s="7"/>
    </row>
    <row r="174" spans="14:14" ht="14.25" customHeight="1" x14ac:dyDescent="0.35">
      <c r="N174" s="7"/>
    </row>
    <row r="175" spans="14:14" ht="14.25" customHeight="1" x14ac:dyDescent="0.35">
      <c r="N175" s="7"/>
    </row>
    <row r="176" spans="14:14" ht="14.25" customHeight="1" x14ac:dyDescent="0.35">
      <c r="N176" s="7"/>
    </row>
    <row r="177" spans="14:14" ht="14.25" customHeight="1" x14ac:dyDescent="0.35">
      <c r="N177" s="7"/>
    </row>
    <row r="178" spans="14:14" ht="14.25" customHeight="1" x14ac:dyDescent="0.35">
      <c r="N178" s="7"/>
    </row>
    <row r="179" spans="14:14" ht="14.25" customHeight="1" x14ac:dyDescent="0.35">
      <c r="N179" s="7"/>
    </row>
    <row r="180" spans="14:14" ht="14.25" customHeight="1" x14ac:dyDescent="0.35">
      <c r="N180" s="7"/>
    </row>
    <row r="181" spans="14:14" ht="14.25" customHeight="1" x14ac:dyDescent="0.35">
      <c r="N181" s="7"/>
    </row>
    <row r="182" spans="14:14" ht="14.25" customHeight="1" x14ac:dyDescent="0.35">
      <c r="N182" s="7"/>
    </row>
    <row r="183" spans="14:14" ht="14.25" customHeight="1" x14ac:dyDescent="0.35">
      <c r="N183" s="7"/>
    </row>
    <row r="184" spans="14:14" ht="14.25" customHeight="1" x14ac:dyDescent="0.35">
      <c r="N184" s="7"/>
    </row>
    <row r="185" spans="14:14" ht="14.25" customHeight="1" x14ac:dyDescent="0.35">
      <c r="N185" s="7"/>
    </row>
    <row r="186" spans="14:14" ht="14.25" customHeight="1" x14ac:dyDescent="0.35">
      <c r="N186" s="7"/>
    </row>
    <row r="187" spans="14:14" ht="14.25" customHeight="1" x14ac:dyDescent="0.35">
      <c r="N187" s="7"/>
    </row>
    <row r="188" spans="14:14" ht="14.25" customHeight="1" x14ac:dyDescent="0.35">
      <c r="N188" s="7"/>
    </row>
    <row r="189" spans="14:14" ht="14.25" customHeight="1" x14ac:dyDescent="0.35">
      <c r="N189" s="7"/>
    </row>
    <row r="190" spans="14:14" ht="14.25" customHeight="1" x14ac:dyDescent="0.35">
      <c r="N190" s="7"/>
    </row>
    <row r="191" spans="14:14" ht="14.25" customHeight="1" x14ac:dyDescent="0.35">
      <c r="N191" s="7"/>
    </row>
    <row r="192" spans="14:14" ht="14.25" customHeight="1" x14ac:dyDescent="0.35">
      <c r="N192" s="7"/>
    </row>
    <row r="193" spans="14:14" ht="14.25" customHeight="1" x14ac:dyDescent="0.35">
      <c r="N193" s="7"/>
    </row>
    <row r="194" spans="14:14" ht="14.25" customHeight="1" x14ac:dyDescent="0.35">
      <c r="N194" s="7"/>
    </row>
    <row r="195" spans="14:14" ht="14.25" customHeight="1" x14ac:dyDescent="0.35">
      <c r="N195" s="7"/>
    </row>
    <row r="196" spans="14:14" ht="14.25" customHeight="1" x14ac:dyDescent="0.35">
      <c r="N196" s="7"/>
    </row>
    <row r="197" spans="14:14" ht="14.25" customHeight="1" x14ac:dyDescent="0.35">
      <c r="N197" s="7"/>
    </row>
    <row r="198" spans="14:14" ht="14.25" customHeight="1" x14ac:dyDescent="0.35">
      <c r="N198" s="7"/>
    </row>
    <row r="199" spans="14:14" ht="14.25" customHeight="1" x14ac:dyDescent="0.35">
      <c r="N199" s="7"/>
    </row>
    <row r="200" spans="14:14" ht="14.25" customHeight="1" x14ac:dyDescent="0.35">
      <c r="N200" s="7"/>
    </row>
    <row r="201" spans="14:14" ht="14.25" customHeight="1" x14ac:dyDescent="0.35">
      <c r="N201" s="7"/>
    </row>
    <row r="202" spans="14:14" ht="14.25" customHeight="1" x14ac:dyDescent="0.35">
      <c r="N202" s="7"/>
    </row>
    <row r="203" spans="14:14" ht="14.25" customHeight="1" x14ac:dyDescent="0.35">
      <c r="N203" s="7"/>
    </row>
    <row r="204" spans="14:14" ht="14.25" customHeight="1" x14ac:dyDescent="0.35">
      <c r="N204" s="7"/>
    </row>
    <row r="205" spans="14:14" ht="14.25" customHeight="1" x14ac:dyDescent="0.35">
      <c r="N205" s="7"/>
    </row>
    <row r="206" spans="14:14" ht="14.25" customHeight="1" x14ac:dyDescent="0.35">
      <c r="N206" s="7"/>
    </row>
    <row r="207" spans="14:14" ht="14.25" customHeight="1" x14ac:dyDescent="0.35">
      <c r="N207" s="7"/>
    </row>
    <row r="208" spans="14:14" ht="14.25" customHeight="1" x14ac:dyDescent="0.35">
      <c r="N208" s="7"/>
    </row>
    <row r="209" spans="14:14" ht="14.25" customHeight="1" x14ac:dyDescent="0.35">
      <c r="N209" s="7"/>
    </row>
    <row r="210" spans="14:14" ht="14.25" customHeight="1" x14ac:dyDescent="0.35">
      <c r="N210" s="7"/>
    </row>
    <row r="211" spans="14:14" ht="14.25" customHeight="1" x14ac:dyDescent="0.35">
      <c r="N211" s="7"/>
    </row>
    <row r="212" spans="14:14" ht="14.25" customHeight="1" x14ac:dyDescent="0.35">
      <c r="N212" s="7"/>
    </row>
    <row r="213" spans="14:14" ht="14.25" customHeight="1" x14ac:dyDescent="0.35">
      <c r="N213" s="7"/>
    </row>
    <row r="214" spans="14:14" ht="14.25" customHeight="1" x14ac:dyDescent="0.35">
      <c r="N214" s="7"/>
    </row>
    <row r="215" spans="14:14" ht="14.25" customHeight="1" x14ac:dyDescent="0.35">
      <c r="N215" s="7"/>
    </row>
    <row r="216" spans="14:14" ht="14.25" customHeight="1" x14ac:dyDescent="0.35">
      <c r="N216" s="7"/>
    </row>
    <row r="217" spans="14:14" ht="14.25" customHeight="1" x14ac:dyDescent="0.35">
      <c r="N217" s="7"/>
    </row>
    <row r="218" spans="14:14" ht="14.25" customHeight="1" x14ac:dyDescent="0.35">
      <c r="N218" s="7"/>
    </row>
    <row r="219" spans="14:14" ht="14.25" customHeight="1" x14ac:dyDescent="0.35">
      <c r="N219" s="7"/>
    </row>
    <row r="220" spans="14:14" ht="14.25" customHeight="1" x14ac:dyDescent="0.35">
      <c r="N220" s="7"/>
    </row>
    <row r="221" spans="14:14" ht="14.25" customHeight="1" x14ac:dyDescent="0.35">
      <c r="N221" s="7"/>
    </row>
    <row r="222" spans="14:14" ht="14.25" customHeight="1" x14ac:dyDescent="0.35">
      <c r="N222" s="7"/>
    </row>
    <row r="223" spans="14:14" ht="14.25" customHeight="1" x14ac:dyDescent="0.35">
      <c r="N223" s="7"/>
    </row>
    <row r="224" spans="14:14" ht="14.25" customHeight="1" x14ac:dyDescent="0.35">
      <c r="N224" s="7"/>
    </row>
    <row r="225" spans="14:14" ht="14.25" customHeight="1" x14ac:dyDescent="0.35">
      <c r="N225" s="7"/>
    </row>
    <row r="226" spans="14:14" ht="14.25" customHeight="1" x14ac:dyDescent="0.35">
      <c r="N226" s="7"/>
    </row>
    <row r="227" spans="14:14" ht="14.25" customHeight="1" x14ac:dyDescent="0.35">
      <c r="N227" s="7"/>
    </row>
    <row r="228" spans="14:14" ht="14.25" customHeight="1" x14ac:dyDescent="0.35">
      <c r="N228" s="7"/>
    </row>
    <row r="229" spans="14:14" ht="14.25" customHeight="1" x14ac:dyDescent="0.35">
      <c r="N229" s="7"/>
    </row>
    <row r="230" spans="14:14" ht="14.25" customHeight="1" x14ac:dyDescent="0.35">
      <c r="N230" s="7"/>
    </row>
    <row r="231" spans="14:14" ht="14.25" customHeight="1" x14ac:dyDescent="0.35">
      <c r="N231" s="7"/>
    </row>
    <row r="232" spans="14:14" ht="14.25" customHeight="1" x14ac:dyDescent="0.35">
      <c r="N232" s="7"/>
    </row>
    <row r="233" spans="14:14" ht="14.25" customHeight="1" x14ac:dyDescent="0.35">
      <c r="N233" s="7"/>
    </row>
    <row r="234" spans="14:14" ht="14.25" customHeight="1" x14ac:dyDescent="0.35">
      <c r="N234" s="7"/>
    </row>
    <row r="235" spans="14:14" ht="14.25" customHeight="1" x14ac:dyDescent="0.35">
      <c r="N235" s="7"/>
    </row>
    <row r="236" spans="14:14" ht="14.25" customHeight="1" x14ac:dyDescent="0.35">
      <c r="N236" s="7"/>
    </row>
    <row r="237" spans="14:14" ht="14.25" customHeight="1" x14ac:dyDescent="0.35">
      <c r="N237" s="7"/>
    </row>
    <row r="238" spans="14:14" ht="14.25" customHeight="1" x14ac:dyDescent="0.35">
      <c r="N238" s="7"/>
    </row>
    <row r="239" spans="14:14" ht="14.25" customHeight="1" x14ac:dyDescent="0.35">
      <c r="N239" s="7"/>
    </row>
    <row r="240" spans="14:14" ht="14.25" customHeight="1" x14ac:dyDescent="0.35">
      <c r="N240" s="7"/>
    </row>
    <row r="241" spans="14:14" ht="14.25" customHeight="1" x14ac:dyDescent="0.35">
      <c r="N241" s="7"/>
    </row>
    <row r="242" spans="14:14" ht="14.25" customHeight="1" x14ac:dyDescent="0.35">
      <c r="N242" s="7"/>
    </row>
    <row r="243" spans="14:14" ht="14.25" customHeight="1" x14ac:dyDescent="0.35">
      <c r="N243" s="7"/>
    </row>
    <row r="244" spans="14:14" ht="14.25" customHeight="1" x14ac:dyDescent="0.35">
      <c r="N244" s="7"/>
    </row>
    <row r="245" spans="14:14" ht="14.25" customHeight="1" x14ac:dyDescent="0.35">
      <c r="N245" s="7"/>
    </row>
    <row r="246" spans="14:14" ht="14.25" customHeight="1" x14ac:dyDescent="0.35">
      <c r="N246" s="7"/>
    </row>
    <row r="247" spans="14:14" ht="14.25" customHeight="1" x14ac:dyDescent="0.35">
      <c r="N247" s="7"/>
    </row>
    <row r="248" spans="14:14" ht="14.25" customHeight="1" x14ac:dyDescent="0.35">
      <c r="N248" s="7"/>
    </row>
    <row r="249" spans="14:14" ht="14.25" customHeight="1" x14ac:dyDescent="0.35">
      <c r="N249" s="7"/>
    </row>
    <row r="250" spans="14:14" ht="14.25" customHeight="1" x14ac:dyDescent="0.35">
      <c r="N250" s="7"/>
    </row>
    <row r="251" spans="14:14" ht="14.25" customHeight="1" x14ac:dyDescent="0.35">
      <c r="N251" s="7"/>
    </row>
    <row r="252" spans="14:14" ht="14.25" customHeight="1" x14ac:dyDescent="0.35">
      <c r="N252" s="7"/>
    </row>
    <row r="253" spans="14:14" ht="14.25" customHeight="1" x14ac:dyDescent="0.35">
      <c r="N253" s="7"/>
    </row>
    <row r="254" spans="14:14" ht="14.25" customHeight="1" x14ac:dyDescent="0.35">
      <c r="N254" s="7"/>
    </row>
    <row r="255" spans="14:14" ht="14.25" customHeight="1" x14ac:dyDescent="0.35">
      <c r="N255" s="7"/>
    </row>
    <row r="256" spans="14:14" ht="14.25" customHeight="1" x14ac:dyDescent="0.35">
      <c r="N256" s="7"/>
    </row>
    <row r="257" spans="14:14" ht="14.25" customHeight="1" x14ac:dyDescent="0.35">
      <c r="N257" s="7"/>
    </row>
    <row r="258" spans="14:14" ht="14.25" customHeight="1" x14ac:dyDescent="0.35">
      <c r="N258" s="7"/>
    </row>
    <row r="259" spans="14:14" ht="14.25" customHeight="1" x14ac:dyDescent="0.35">
      <c r="N259" s="7"/>
    </row>
    <row r="260" spans="14:14" ht="14.25" customHeight="1" x14ac:dyDescent="0.35">
      <c r="N260" s="7"/>
    </row>
    <row r="261" spans="14:14" ht="14.25" customHeight="1" x14ac:dyDescent="0.35">
      <c r="N261" s="7"/>
    </row>
    <row r="262" spans="14:14" ht="14.25" customHeight="1" x14ac:dyDescent="0.35">
      <c r="N262" s="7"/>
    </row>
    <row r="263" spans="14:14" ht="14.25" customHeight="1" x14ac:dyDescent="0.35">
      <c r="N263" s="7"/>
    </row>
    <row r="264" spans="14:14" ht="14.25" customHeight="1" x14ac:dyDescent="0.35">
      <c r="N264" s="7"/>
    </row>
    <row r="265" spans="14:14" ht="14.25" customHeight="1" x14ac:dyDescent="0.35">
      <c r="N265" s="7"/>
    </row>
    <row r="266" spans="14:14" ht="14.25" customHeight="1" x14ac:dyDescent="0.35">
      <c r="N266" s="7"/>
    </row>
    <row r="267" spans="14:14" ht="14.25" customHeight="1" x14ac:dyDescent="0.35">
      <c r="N267" s="7"/>
    </row>
    <row r="268" spans="14:14" ht="14.25" customHeight="1" x14ac:dyDescent="0.35">
      <c r="N268" s="7"/>
    </row>
    <row r="269" spans="14:14" ht="14.25" customHeight="1" x14ac:dyDescent="0.35">
      <c r="N269" s="7"/>
    </row>
    <row r="270" spans="14:14" ht="14.25" customHeight="1" x14ac:dyDescent="0.35">
      <c r="N270" s="7"/>
    </row>
    <row r="271" spans="14:14" ht="14.25" customHeight="1" x14ac:dyDescent="0.35">
      <c r="N271" s="7"/>
    </row>
    <row r="272" spans="14:14" ht="14.25" customHeight="1" x14ac:dyDescent="0.35">
      <c r="N272" s="7"/>
    </row>
    <row r="273" spans="14:14" ht="14.25" customHeight="1" x14ac:dyDescent="0.35">
      <c r="N273" s="7"/>
    </row>
    <row r="274" spans="14:14" ht="14.25" customHeight="1" x14ac:dyDescent="0.35">
      <c r="N274" s="7"/>
    </row>
    <row r="275" spans="14:14" ht="14.25" customHeight="1" x14ac:dyDescent="0.35">
      <c r="N275" s="7"/>
    </row>
    <row r="276" spans="14:14" ht="14.25" customHeight="1" x14ac:dyDescent="0.35">
      <c r="N276" s="7"/>
    </row>
    <row r="277" spans="14:14" ht="14.25" customHeight="1" x14ac:dyDescent="0.35">
      <c r="N277" s="7"/>
    </row>
    <row r="278" spans="14:14" ht="14.25" customHeight="1" x14ac:dyDescent="0.35">
      <c r="N278" s="7"/>
    </row>
    <row r="279" spans="14:14" ht="14.25" customHeight="1" x14ac:dyDescent="0.35">
      <c r="N279" s="7"/>
    </row>
    <row r="280" spans="14:14" ht="14.25" customHeight="1" x14ac:dyDescent="0.35">
      <c r="N280" s="7"/>
    </row>
    <row r="281" spans="14:14" ht="14.25" customHeight="1" x14ac:dyDescent="0.35">
      <c r="N281" s="7"/>
    </row>
    <row r="282" spans="14:14" ht="14.25" customHeight="1" x14ac:dyDescent="0.35">
      <c r="N282" s="7"/>
    </row>
    <row r="283" spans="14:14" ht="14.25" customHeight="1" x14ac:dyDescent="0.35">
      <c r="N283" s="7"/>
    </row>
    <row r="284" spans="14:14" ht="14.25" customHeight="1" x14ac:dyDescent="0.35">
      <c r="N284" s="7"/>
    </row>
    <row r="285" spans="14:14" ht="14.25" customHeight="1" x14ac:dyDescent="0.35">
      <c r="N285" s="7"/>
    </row>
    <row r="286" spans="14:14" ht="14.25" customHeight="1" x14ac:dyDescent="0.35">
      <c r="N286" s="7"/>
    </row>
    <row r="287" spans="14:14" ht="14.25" customHeight="1" x14ac:dyDescent="0.35">
      <c r="N287" s="7"/>
    </row>
    <row r="288" spans="14:14" ht="14.25" customHeight="1" x14ac:dyDescent="0.35">
      <c r="N288" s="7"/>
    </row>
    <row r="289" spans="14:14" ht="14.25" customHeight="1" x14ac:dyDescent="0.35">
      <c r="N289" s="7"/>
    </row>
    <row r="290" spans="14:14" ht="14.25" customHeight="1" x14ac:dyDescent="0.35">
      <c r="N290" s="7"/>
    </row>
    <row r="291" spans="14:14" ht="14.25" customHeight="1" x14ac:dyDescent="0.35">
      <c r="N291" s="7"/>
    </row>
    <row r="292" spans="14:14" ht="14.25" customHeight="1" x14ac:dyDescent="0.35">
      <c r="N292" s="7"/>
    </row>
    <row r="293" spans="14:14" ht="14.25" customHeight="1" x14ac:dyDescent="0.35">
      <c r="N293" s="7"/>
    </row>
    <row r="294" spans="14:14" ht="14.25" customHeight="1" x14ac:dyDescent="0.35">
      <c r="N294" s="7"/>
    </row>
    <row r="295" spans="14:14" ht="14.25" customHeight="1" x14ac:dyDescent="0.35">
      <c r="N295" s="7"/>
    </row>
    <row r="296" spans="14:14" ht="14.25" customHeight="1" x14ac:dyDescent="0.35">
      <c r="N296" s="7"/>
    </row>
    <row r="297" spans="14:14" ht="14.25" customHeight="1" x14ac:dyDescent="0.35">
      <c r="N297" s="7"/>
    </row>
    <row r="298" spans="14:14" ht="14.25" customHeight="1" x14ac:dyDescent="0.35">
      <c r="N298" s="7"/>
    </row>
    <row r="299" spans="14:14" ht="14.25" customHeight="1" x14ac:dyDescent="0.35">
      <c r="N299" s="7"/>
    </row>
    <row r="300" spans="14:14" ht="14.25" customHeight="1" x14ac:dyDescent="0.35">
      <c r="N300" s="7"/>
    </row>
    <row r="301" spans="14:14" ht="14.25" customHeight="1" x14ac:dyDescent="0.35">
      <c r="N301" s="7"/>
    </row>
    <row r="302" spans="14:14" ht="14.25" customHeight="1" x14ac:dyDescent="0.35">
      <c r="N302" s="7"/>
    </row>
    <row r="303" spans="14:14" ht="14.25" customHeight="1" x14ac:dyDescent="0.35">
      <c r="N303" s="7"/>
    </row>
    <row r="304" spans="14:14" ht="14.25" customHeight="1" x14ac:dyDescent="0.35">
      <c r="N304" s="7"/>
    </row>
    <row r="305" spans="14:14" ht="14.25" customHeight="1" x14ac:dyDescent="0.35">
      <c r="N305" s="7"/>
    </row>
    <row r="306" spans="14:14" ht="14.25" customHeight="1" x14ac:dyDescent="0.35">
      <c r="N306" s="7"/>
    </row>
    <row r="307" spans="14:14" ht="14.25" customHeight="1" x14ac:dyDescent="0.35">
      <c r="N307" s="7"/>
    </row>
    <row r="308" spans="14:14" ht="14.25" customHeight="1" x14ac:dyDescent="0.35">
      <c r="N308" s="7"/>
    </row>
    <row r="309" spans="14:14" ht="14.25" customHeight="1" x14ac:dyDescent="0.35">
      <c r="N309" s="7"/>
    </row>
    <row r="310" spans="14:14" ht="14.25" customHeight="1" x14ac:dyDescent="0.35">
      <c r="N310" s="7"/>
    </row>
    <row r="311" spans="14:14" ht="14.25" customHeight="1" x14ac:dyDescent="0.35">
      <c r="N311" s="7"/>
    </row>
    <row r="312" spans="14:14" ht="14.25" customHeight="1" x14ac:dyDescent="0.35">
      <c r="N312" s="7"/>
    </row>
    <row r="313" spans="14:14" ht="14.25" customHeight="1" x14ac:dyDescent="0.35">
      <c r="N313" s="7"/>
    </row>
    <row r="314" spans="14:14" ht="14.25" customHeight="1" x14ac:dyDescent="0.35">
      <c r="N314" s="7"/>
    </row>
    <row r="315" spans="14:14" ht="14.25" customHeight="1" x14ac:dyDescent="0.35">
      <c r="N315" s="7"/>
    </row>
    <row r="316" spans="14:14" ht="14.25" customHeight="1" x14ac:dyDescent="0.35">
      <c r="N316" s="7"/>
    </row>
    <row r="317" spans="14:14" ht="14.25" customHeight="1" x14ac:dyDescent="0.35">
      <c r="N317" s="7"/>
    </row>
    <row r="318" spans="14:14" ht="14.25" customHeight="1" x14ac:dyDescent="0.35">
      <c r="N318" s="7"/>
    </row>
    <row r="319" spans="14:14" ht="14.25" customHeight="1" x14ac:dyDescent="0.35">
      <c r="N319" s="7"/>
    </row>
    <row r="320" spans="14:14" ht="14.25" customHeight="1" x14ac:dyDescent="0.35">
      <c r="N320" s="7"/>
    </row>
    <row r="321" spans="14:14" ht="14.25" customHeight="1" x14ac:dyDescent="0.35">
      <c r="N321" s="7"/>
    </row>
    <row r="322" spans="14:14" ht="14.25" customHeight="1" x14ac:dyDescent="0.35">
      <c r="N322" s="7"/>
    </row>
    <row r="323" spans="14:14" ht="14.25" customHeight="1" x14ac:dyDescent="0.35">
      <c r="N323" s="7"/>
    </row>
    <row r="324" spans="14:14" ht="14.25" customHeight="1" x14ac:dyDescent="0.35">
      <c r="N324" s="7"/>
    </row>
    <row r="325" spans="14:14" ht="14.25" customHeight="1" x14ac:dyDescent="0.35">
      <c r="N325" s="7"/>
    </row>
    <row r="326" spans="14:14" ht="14.25" customHeight="1" x14ac:dyDescent="0.35">
      <c r="N326" s="7"/>
    </row>
    <row r="327" spans="14:14" ht="14.25" customHeight="1" x14ac:dyDescent="0.35">
      <c r="N327" s="7"/>
    </row>
    <row r="328" spans="14:14" ht="14.25" customHeight="1" x14ac:dyDescent="0.35">
      <c r="N328" s="7"/>
    </row>
    <row r="329" spans="14:14" ht="14.25" customHeight="1" x14ac:dyDescent="0.35">
      <c r="N329" s="7"/>
    </row>
    <row r="330" spans="14:14" ht="14.25" customHeight="1" x14ac:dyDescent="0.35">
      <c r="N330" s="7"/>
    </row>
    <row r="331" spans="14:14" ht="14.25" customHeight="1" x14ac:dyDescent="0.35">
      <c r="N331" s="7"/>
    </row>
    <row r="332" spans="14:14" ht="14.25" customHeight="1" x14ac:dyDescent="0.35">
      <c r="N332" s="7"/>
    </row>
    <row r="333" spans="14:14" ht="14.25" customHeight="1" x14ac:dyDescent="0.35">
      <c r="N333" s="7"/>
    </row>
    <row r="334" spans="14:14" ht="14.25" customHeight="1" x14ac:dyDescent="0.35">
      <c r="N334" s="7"/>
    </row>
    <row r="335" spans="14:14" ht="14.25" customHeight="1" x14ac:dyDescent="0.35">
      <c r="N335" s="7"/>
    </row>
    <row r="336" spans="14:14" ht="14.25" customHeight="1" x14ac:dyDescent="0.35">
      <c r="N336" s="7"/>
    </row>
    <row r="337" spans="14:14" ht="14.25" customHeight="1" x14ac:dyDescent="0.35">
      <c r="N337" s="7"/>
    </row>
    <row r="338" spans="14:14" ht="14.25" customHeight="1" x14ac:dyDescent="0.35">
      <c r="N338" s="7"/>
    </row>
    <row r="339" spans="14:14" ht="14.25" customHeight="1" x14ac:dyDescent="0.35">
      <c r="N339" s="7"/>
    </row>
    <row r="340" spans="14:14" ht="14.25" customHeight="1" x14ac:dyDescent="0.35">
      <c r="N340" s="7"/>
    </row>
    <row r="341" spans="14:14" ht="14.25" customHeight="1" x14ac:dyDescent="0.35">
      <c r="N341" s="7"/>
    </row>
    <row r="342" spans="14:14" ht="14.25" customHeight="1" x14ac:dyDescent="0.35">
      <c r="N342" s="7"/>
    </row>
    <row r="343" spans="14:14" ht="14.25" customHeight="1" x14ac:dyDescent="0.35">
      <c r="N343" s="7"/>
    </row>
    <row r="344" spans="14:14" ht="14.25" customHeight="1" x14ac:dyDescent="0.35">
      <c r="N344" s="7"/>
    </row>
    <row r="345" spans="14:14" ht="14.25" customHeight="1" x14ac:dyDescent="0.35">
      <c r="N345" s="7"/>
    </row>
    <row r="346" spans="14:14" ht="14.25" customHeight="1" x14ac:dyDescent="0.35">
      <c r="N346" s="7"/>
    </row>
    <row r="347" spans="14:14" ht="14.25" customHeight="1" x14ac:dyDescent="0.35">
      <c r="N347" s="7"/>
    </row>
    <row r="348" spans="14:14" ht="14.25" customHeight="1" x14ac:dyDescent="0.35">
      <c r="N348" s="7"/>
    </row>
    <row r="349" spans="14:14" ht="14.25" customHeight="1" x14ac:dyDescent="0.35">
      <c r="N349" s="7"/>
    </row>
    <row r="350" spans="14:14" ht="14.25" customHeight="1" x14ac:dyDescent="0.35">
      <c r="N350" s="7"/>
    </row>
    <row r="351" spans="14:14" ht="14.25" customHeight="1" x14ac:dyDescent="0.35">
      <c r="N351" s="7"/>
    </row>
    <row r="352" spans="14:14" ht="14.25" customHeight="1" x14ac:dyDescent="0.35">
      <c r="N352" s="7"/>
    </row>
    <row r="353" spans="14:14" ht="14.25" customHeight="1" x14ac:dyDescent="0.35">
      <c r="N353" s="7"/>
    </row>
    <row r="354" spans="14:14" ht="14.25" customHeight="1" x14ac:dyDescent="0.35">
      <c r="N354" s="7"/>
    </row>
    <row r="355" spans="14:14" ht="14.25" customHeight="1" x14ac:dyDescent="0.35">
      <c r="N355" s="7"/>
    </row>
    <row r="356" spans="14:14" ht="14.25" customHeight="1" x14ac:dyDescent="0.35">
      <c r="N356" s="7"/>
    </row>
    <row r="357" spans="14:14" ht="14.25" customHeight="1" x14ac:dyDescent="0.35">
      <c r="N357" s="7"/>
    </row>
    <row r="358" spans="14:14" ht="14.25" customHeight="1" x14ac:dyDescent="0.35">
      <c r="N358" s="7"/>
    </row>
    <row r="359" spans="14:14" ht="14.25" customHeight="1" x14ac:dyDescent="0.35">
      <c r="N359" s="7"/>
    </row>
    <row r="360" spans="14:14" ht="14.25" customHeight="1" x14ac:dyDescent="0.35">
      <c r="N360" s="7"/>
    </row>
    <row r="361" spans="14:14" ht="14.25" customHeight="1" x14ac:dyDescent="0.35">
      <c r="N361" s="7"/>
    </row>
    <row r="362" spans="14:14" ht="14.25" customHeight="1" x14ac:dyDescent="0.35">
      <c r="N362" s="7"/>
    </row>
    <row r="363" spans="14:14" ht="14.25" customHeight="1" x14ac:dyDescent="0.35">
      <c r="N363" s="7"/>
    </row>
    <row r="364" spans="14:14" ht="14.25" customHeight="1" x14ac:dyDescent="0.35">
      <c r="N364" s="7"/>
    </row>
    <row r="365" spans="14:14" ht="14.25" customHeight="1" x14ac:dyDescent="0.35">
      <c r="N365" s="7"/>
    </row>
    <row r="366" spans="14:14" ht="14.25" customHeight="1" x14ac:dyDescent="0.35">
      <c r="N366" s="7"/>
    </row>
    <row r="367" spans="14:14" ht="14.25" customHeight="1" x14ac:dyDescent="0.35">
      <c r="N367" s="7"/>
    </row>
    <row r="368" spans="14:14" ht="14.25" customHeight="1" x14ac:dyDescent="0.35">
      <c r="N368" s="7"/>
    </row>
    <row r="369" spans="14:14" ht="14.25" customHeight="1" x14ac:dyDescent="0.35">
      <c r="N369" s="7"/>
    </row>
    <row r="370" spans="14:14" ht="14.25" customHeight="1" x14ac:dyDescent="0.35">
      <c r="N370" s="7"/>
    </row>
    <row r="371" spans="14:14" ht="14.25" customHeight="1" x14ac:dyDescent="0.35">
      <c r="N371" s="7"/>
    </row>
    <row r="372" spans="14:14" ht="14.25" customHeight="1" x14ac:dyDescent="0.35">
      <c r="N372" s="7"/>
    </row>
    <row r="373" spans="14:14" ht="14.25" customHeight="1" x14ac:dyDescent="0.35">
      <c r="N373" s="7"/>
    </row>
    <row r="374" spans="14:14" ht="14.25" customHeight="1" x14ac:dyDescent="0.35">
      <c r="N374" s="7"/>
    </row>
    <row r="375" spans="14:14" ht="14.25" customHeight="1" x14ac:dyDescent="0.35">
      <c r="N375" s="7"/>
    </row>
    <row r="376" spans="14:14" ht="14.25" customHeight="1" x14ac:dyDescent="0.35">
      <c r="N376" s="7"/>
    </row>
    <row r="377" spans="14:14" ht="14.25" customHeight="1" x14ac:dyDescent="0.35">
      <c r="N377" s="7"/>
    </row>
    <row r="378" spans="14:14" ht="14.25" customHeight="1" x14ac:dyDescent="0.35">
      <c r="N378" s="7"/>
    </row>
    <row r="379" spans="14:14" ht="14.25" customHeight="1" x14ac:dyDescent="0.35">
      <c r="N379" s="7"/>
    </row>
    <row r="380" spans="14:14" ht="14.25" customHeight="1" x14ac:dyDescent="0.35">
      <c r="N380" s="7"/>
    </row>
    <row r="381" spans="14:14" ht="14.25" customHeight="1" x14ac:dyDescent="0.35">
      <c r="N381" s="7"/>
    </row>
    <row r="382" spans="14:14" ht="14.25" customHeight="1" x14ac:dyDescent="0.35">
      <c r="N382" s="7"/>
    </row>
    <row r="383" spans="14:14" ht="14.25" customHeight="1" x14ac:dyDescent="0.35">
      <c r="N383" s="7"/>
    </row>
    <row r="384" spans="14:14" ht="14.25" customHeight="1" x14ac:dyDescent="0.35">
      <c r="N384" s="7"/>
    </row>
    <row r="385" spans="14:14" ht="14.25" customHeight="1" x14ac:dyDescent="0.35">
      <c r="N385" s="7"/>
    </row>
    <row r="386" spans="14:14" ht="14.25" customHeight="1" x14ac:dyDescent="0.35">
      <c r="N386" s="7"/>
    </row>
    <row r="387" spans="14:14" ht="14.25" customHeight="1" x14ac:dyDescent="0.35">
      <c r="N387" s="7"/>
    </row>
    <row r="388" spans="14:14" ht="14.25" customHeight="1" x14ac:dyDescent="0.35">
      <c r="N388" s="7"/>
    </row>
    <row r="389" spans="14:14" ht="14.25" customHeight="1" x14ac:dyDescent="0.35">
      <c r="N389" s="7"/>
    </row>
    <row r="390" spans="14:14" ht="14.25" customHeight="1" x14ac:dyDescent="0.35">
      <c r="N390" s="7"/>
    </row>
    <row r="391" spans="14:14" ht="14.25" customHeight="1" x14ac:dyDescent="0.35">
      <c r="N391" s="7"/>
    </row>
    <row r="392" spans="14:14" ht="14.25" customHeight="1" x14ac:dyDescent="0.35">
      <c r="N392" s="7"/>
    </row>
    <row r="393" spans="14:14" ht="14.25" customHeight="1" x14ac:dyDescent="0.35">
      <c r="N393" s="7"/>
    </row>
    <row r="394" spans="14:14" ht="14.25" customHeight="1" x14ac:dyDescent="0.35">
      <c r="N394" s="7"/>
    </row>
    <row r="395" spans="14:14" ht="14.25" customHeight="1" x14ac:dyDescent="0.35">
      <c r="N395" s="7"/>
    </row>
    <row r="396" spans="14:14" ht="14.25" customHeight="1" x14ac:dyDescent="0.35">
      <c r="N396" s="7"/>
    </row>
    <row r="397" spans="14:14" ht="14.25" customHeight="1" x14ac:dyDescent="0.35">
      <c r="N397" s="7"/>
    </row>
    <row r="398" spans="14:14" ht="14.25" customHeight="1" x14ac:dyDescent="0.35">
      <c r="N398" s="7"/>
    </row>
    <row r="399" spans="14:14" ht="14.25" customHeight="1" x14ac:dyDescent="0.35">
      <c r="N399" s="7"/>
    </row>
    <row r="400" spans="14:14" ht="14.25" customHeight="1" x14ac:dyDescent="0.35">
      <c r="N400" s="7"/>
    </row>
    <row r="401" spans="14:14" ht="14.25" customHeight="1" x14ac:dyDescent="0.35">
      <c r="N401" s="7"/>
    </row>
    <row r="402" spans="14:14" ht="14.25" customHeight="1" x14ac:dyDescent="0.35">
      <c r="N402" s="7"/>
    </row>
    <row r="403" spans="14:14" ht="14.25" customHeight="1" x14ac:dyDescent="0.35">
      <c r="N403" s="7"/>
    </row>
    <row r="404" spans="14:14" ht="14.25" customHeight="1" x14ac:dyDescent="0.35">
      <c r="N404" s="7"/>
    </row>
    <row r="405" spans="14:14" ht="14.25" customHeight="1" x14ac:dyDescent="0.35">
      <c r="N405" s="7"/>
    </row>
    <row r="406" spans="14:14" ht="14.25" customHeight="1" x14ac:dyDescent="0.35">
      <c r="N406" s="7"/>
    </row>
    <row r="407" spans="14:14" ht="14.25" customHeight="1" x14ac:dyDescent="0.35">
      <c r="N407" s="7"/>
    </row>
    <row r="408" spans="14:14" ht="14.25" customHeight="1" x14ac:dyDescent="0.35">
      <c r="N408" s="7"/>
    </row>
    <row r="409" spans="14:14" ht="14.25" customHeight="1" x14ac:dyDescent="0.35">
      <c r="N409" s="7"/>
    </row>
    <row r="410" spans="14:14" ht="14.25" customHeight="1" x14ac:dyDescent="0.35">
      <c r="N410" s="7"/>
    </row>
    <row r="411" spans="14:14" ht="14.25" customHeight="1" x14ac:dyDescent="0.35">
      <c r="N411" s="7"/>
    </row>
    <row r="412" spans="14:14" ht="14.25" customHeight="1" x14ac:dyDescent="0.35">
      <c r="N412" s="7"/>
    </row>
    <row r="413" spans="14:14" ht="14.25" customHeight="1" x14ac:dyDescent="0.35">
      <c r="N413" s="7"/>
    </row>
    <row r="414" spans="14:14" ht="14.25" customHeight="1" x14ac:dyDescent="0.35">
      <c r="N414" s="7"/>
    </row>
    <row r="415" spans="14:14" ht="14.25" customHeight="1" x14ac:dyDescent="0.35">
      <c r="N415" s="7"/>
    </row>
    <row r="416" spans="14:14" ht="14.25" customHeight="1" x14ac:dyDescent="0.35">
      <c r="N416" s="7"/>
    </row>
    <row r="417" spans="14:14" ht="14.25" customHeight="1" x14ac:dyDescent="0.35">
      <c r="N417" s="7"/>
    </row>
    <row r="418" spans="14:14" ht="14.25" customHeight="1" x14ac:dyDescent="0.35">
      <c r="N418" s="7"/>
    </row>
    <row r="419" spans="14:14" ht="14.25" customHeight="1" x14ac:dyDescent="0.35">
      <c r="N419" s="7"/>
    </row>
    <row r="420" spans="14:14" ht="14.25" customHeight="1" x14ac:dyDescent="0.35">
      <c r="N420" s="7"/>
    </row>
    <row r="421" spans="14:14" ht="14.25" customHeight="1" x14ac:dyDescent="0.35">
      <c r="N421" s="7"/>
    </row>
    <row r="422" spans="14:14" ht="14.25" customHeight="1" x14ac:dyDescent="0.35">
      <c r="N422" s="7"/>
    </row>
    <row r="423" spans="14:14" ht="14.25" customHeight="1" x14ac:dyDescent="0.35">
      <c r="N423" s="7"/>
    </row>
    <row r="424" spans="14:14" ht="14.25" customHeight="1" x14ac:dyDescent="0.35">
      <c r="N424" s="7"/>
    </row>
    <row r="425" spans="14:14" ht="14.25" customHeight="1" x14ac:dyDescent="0.35">
      <c r="N425" s="7"/>
    </row>
    <row r="426" spans="14:14" ht="14.25" customHeight="1" x14ac:dyDescent="0.35">
      <c r="N426" s="7"/>
    </row>
    <row r="427" spans="14:14" ht="14.25" customHeight="1" x14ac:dyDescent="0.35">
      <c r="N427" s="7"/>
    </row>
    <row r="428" spans="14:14" ht="14.25" customHeight="1" x14ac:dyDescent="0.35">
      <c r="N428" s="7"/>
    </row>
    <row r="429" spans="14:14" ht="14.25" customHeight="1" x14ac:dyDescent="0.35">
      <c r="N429" s="7"/>
    </row>
    <row r="430" spans="14:14" ht="14.25" customHeight="1" x14ac:dyDescent="0.35">
      <c r="N430" s="7"/>
    </row>
    <row r="431" spans="14:14" ht="14.25" customHeight="1" x14ac:dyDescent="0.35">
      <c r="N431" s="7"/>
    </row>
    <row r="432" spans="14:14" ht="14.25" customHeight="1" x14ac:dyDescent="0.35">
      <c r="N432" s="7"/>
    </row>
    <row r="433" spans="14:14" ht="14.25" customHeight="1" x14ac:dyDescent="0.35">
      <c r="N433" s="7"/>
    </row>
    <row r="434" spans="14:14" ht="14.25" customHeight="1" x14ac:dyDescent="0.35">
      <c r="N434" s="7"/>
    </row>
    <row r="435" spans="14:14" ht="14.25" customHeight="1" x14ac:dyDescent="0.35">
      <c r="N435" s="7"/>
    </row>
    <row r="436" spans="14:14" ht="14.25" customHeight="1" x14ac:dyDescent="0.35">
      <c r="N436" s="7"/>
    </row>
    <row r="437" spans="14:14" ht="14.25" customHeight="1" x14ac:dyDescent="0.35">
      <c r="N437" s="7"/>
    </row>
    <row r="438" spans="14:14" ht="14.25" customHeight="1" x14ac:dyDescent="0.35">
      <c r="N438" s="7"/>
    </row>
    <row r="439" spans="14:14" ht="14.25" customHeight="1" x14ac:dyDescent="0.35">
      <c r="N439" s="7"/>
    </row>
    <row r="440" spans="14:14" ht="14.25" customHeight="1" x14ac:dyDescent="0.35">
      <c r="N440" s="7"/>
    </row>
    <row r="441" spans="14:14" ht="14.25" customHeight="1" x14ac:dyDescent="0.35">
      <c r="N441" s="7"/>
    </row>
    <row r="442" spans="14:14" ht="14.25" customHeight="1" x14ac:dyDescent="0.35">
      <c r="N442" s="7"/>
    </row>
    <row r="443" spans="14:14" ht="14.25" customHeight="1" x14ac:dyDescent="0.35">
      <c r="N443" s="7"/>
    </row>
    <row r="444" spans="14:14" ht="14.25" customHeight="1" x14ac:dyDescent="0.35">
      <c r="N444" s="7"/>
    </row>
    <row r="445" spans="14:14" ht="14.25" customHeight="1" x14ac:dyDescent="0.35">
      <c r="N445" s="7"/>
    </row>
    <row r="446" spans="14:14" ht="14.25" customHeight="1" x14ac:dyDescent="0.35">
      <c r="N446" s="7"/>
    </row>
    <row r="447" spans="14:14" ht="14.25" customHeight="1" x14ac:dyDescent="0.35">
      <c r="N447" s="7"/>
    </row>
    <row r="448" spans="14:14" ht="14.25" customHeight="1" x14ac:dyDescent="0.35">
      <c r="N448" s="7"/>
    </row>
    <row r="449" spans="14:14" ht="14.25" customHeight="1" x14ac:dyDescent="0.35">
      <c r="N449" s="7"/>
    </row>
    <row r="450" spans="14:14" ht="14.25" customHeight="1" x14ac:dyDescent="0.35">
      <c r="N450" s="7"/>
    </row>
    <row r="451" spans="14:14" ht="14.25" customHeight="1" x14ac:dyDescent="0.35">
      <c r="N451" s="7"/>
    </row>
    <row r="452" spans="14:14" ht="14.25" customHeight="1" x14ac:dyDescent="0.35">
      <c r="N452" s="7"/>
    </row>
    <row r="453" spans="14:14" ht="14.25" customHeight="1" x14ac:dyDescent="0.35">
      <c r="N453" s="7"/>
    </row>
    <row r="454" spans="14:14" ht="14.25" customHeight="1" x14ac:dyDescent="0.35">
      <c r="N454" s="7"/>
    </row>
    <row r="455" spans="14:14" ht="14.25" customHeight="1" x14ac:dyDescent="0.35">
      <c r="N455" s="7"/>
    </row>
    <row r="456" spans="14:14" ht="14.25" customHeight="1" x14ac:dyDescent="0.35">
      <c r="N456" s="7"/>
    </row>
    <row r="457" spans="14:14" ht="14.25" customHeight="1" x14ac:dyDescent="0.35">
      <c r="N457" s="7"/>
    </row>
    <row r="458" spans="14:14" ht="14.25" customHeight="1" x14ac:dyDescent="0.35">
      <c r="N458" s="7"/>
    </row>
    <row r="459" spans="14:14" ht="14.25" customHeight="1" x14ac:dyDescent="0.35">
      <c r="N459" s="7"/>
    </row>
    <row r="460" spans="14:14" ht="14.25" customHeight="1" x14ac:dyDescent="0.35">
      <c r="N460" s="7"/>
    </row>
    <row r="461" spans="14:14" ht="14.25" customHeight="1" x14ac:dyDescent="0.35">
      <c r="N461" s="7"/>
    </row>
    <row r="462" spans="14:14" ht="14.25" customHeight="1" x14ac:dyDescent="0.35">
      <c r="N462" s="7"/>
    </row>
    <row r="463" spans="14:14" ht="14.25" customHeight="1" x14ac:dyDescent="0.35">
      <c r="N463" s="7"/>
    </row>
    <row r="464" spans="14:14" ht="14.25" customHeight="1" x14ac:dyDescent="0.35">
      <c r="N464" s="7"/>
    </row>
    <row r="465" spans="14:14" ht="14.25" customHeight="1" x14ac:dyDescent="0.35">
      <c r="N465" s="7"/>
    </row>
    <row r="466" spans="14:14" ht="14.25" customHeight="1" x14ac:dyDescent="0.35">
      <c r="N466" s="7"/>
    </row>
    <row r="467" spans="14:14" ht="14.25" customHeight="1" x14ac:dyDescent="0.35">
      <c r="N467" s="7"/>
    </row>
    <row r="468" spans="14:14" ht="14.25" customHeight="1" x14ac:dyDescent="0.35">
      <c r="N468" s="7"/>
    </row>
    <row r="469" spans="14:14" ht="14.25" customHeight="1" x14ac:dyDescent="0.35">
      <c r="N469" s="7"/>
    </row>
    <row r="470" spans="14:14" ht="14.25" customHeight="1" x14ac:dyDescent="0.35">
      <c r="N470" s="7"/>
    </row>
    <row r="471" spans="14:14" ht="14.25" customHeight="1" x14ac:dyDescent="0.35">
      <c r="N471" s="7"/>
    </row>
    <row r="472" spans="14:14" ht="14.25" customHeight="1" x14ac:dyDescent="0.35">
      <c r="N472" s="7"/>
    </row>
    <row r="473" spans="14:14" ht="14.25" customHeight="1" x14ac:dyDescent="0.35">
      <c r="N473" s="7"/>
    </row>
    <row r="474" spans="14:14" ht="14.25" customHeight="1" x14ac:dyDescent="0.35">
      <c r="N474" s="7"/>
    </row>
    <row r="475" spans="14:14" ht="14.25" customHeight="1" x14ac:dyDescent="0.35">
      <c r="N475" s="7"/>
    </row>
    <row r="476" spans="14:14" ht="14.25" customHeight="1" x14ac:dyDescent="0.35">
      <c r="N476" s="7"/>
    </row>
    <row r="477" spans="14:14" ht="14.25" customHeight="1" x14ac:dyDescent="0.35">
      <c r="N477" s="7"/>
    </row>
    <row r="478" spans="14:14" ht="14.25" customHeight="1" x14ac:dyDescent="0.35">
      <c r="N478" s="7"/>
    </row>
    <row r="479" spans="14:14" ht="14.25" customHeight="1" x14ac:dyDescent="0.35">
      <c r="N479" s="7"/>
    </row>
    <row r="480" spans="14:14" ht="14.25" customHeight="1" x14ac:dyDescent="0.35">
      <c r="N480" s="7"/>
    </row>
    <row r="481" spans="14:14" ht="14.25" customHeight="1" x14ac:dyDescent="0.35">
      <c r="N481" s="7"/>
    </row>
    <row r="482" spans="14:14" ht="14.25" customHeight="1" x14ac:dyDescent="0.35">
      <c r="N482" s="7"/>
    </row>
    <row r="483" spans="14:14" ht="14.25" customHeight="1" x14ac:dyDescent="0.35">
      <c r="N483" s="7"/>
    </row>
    <row r="484" spans="14:14" ht="14.25" customHeight="1" x14ac:dyDescent="0.35">
      <c r="N484" s="7"/>
    </row>
    <row r="485" spans="14:14" ht="14.25" customHeight="1" x14ac:dyDescent="0.35">
      <c r="N485" s="7"/>
    </row>
    <row r="486" spans="14:14" ht="14.25" customHeight="1" x14ac:dyDescent="0.35">
      <c r="N486" s="7"/>
    </row>
    <row r="487" spans="14:14" ht="14.25" customHeight="1" x14ac:dyDescent="0.35">
      <c r="N487" s="7"/>
    </row>
    <row r="488" spans="14:14" ht="14.25" customHeight="1" x14ac:dyDescent="0.35">
      <c r="N488" s="7"/>
    </row>
    <row r="489" spans="14:14" ht="14.25" customHeight="1" x14ac:dyDescent="0.35">
      <c r="N489" s="7"/>
    </row>
    <row r="490" spans="14:14" ht="14.25" customHeight="1" x14ac:dyDescent="0.35">
      <c r="N490" s="7"/>
    </row>
    <row r="491" spans="14:14" ht="14.25" customHeight="1" x14ac:dyDescent="0.35">
      <c r="N491" s="7"/>
    </row>
    <row r="492" spans="14:14" ht="14.25" customHeight="1" x14ac:dyDescent="0.35">
      <c r="N492" s="7"/>
    </row>
    <row r="493" spans="14:14" ht="14.25" customHeight="1" x14ac:dyDescent="0.35">
      <c r="N493" s="7"/>
    </row>
    <row r="494" spans="14:14" ht="14.25" customHeight="1" x14ac:dyDescent="0.35">
      <c r="N494" s="7"/>
    </row>
    <row r="495" spans="14:14" ht="14.25" customHeight="1" x14ac:dyDescent="0.35">
      <c r="N495" s="7"/>
    </row>
    <row r="496" spans="14:14" ht="14.25" customHeight="1" x14ac:dyDescent="0.35">
      <c r="N496" s="7"/>
    </row>
    <row r="497" spans="14:14" ht="14.25" customHeight="1" x14ac:dyDescent="0.35">
      <c r="N497" s="7"/>
    </row>
    <row r="498" spans="14:14" ht="14.25" customHeight="1" x14ac:dyDescent="0.35">
      <c r="N498" s="7"/>
    </row>
    <row r="499" spans="14:14" ht="14.25" customHeight="1" x14ac:dyDescent="0.35">
      <c r="N499" s="7"/>
    </row>
    <row r="500" spans="14:14" ht="14.25" customHeight="1" x14ac:dyDescent="0.35">
      <c r="N500" s="7"/>
    </row>
    <row r="501" spans="14:14" ht="14.25" customHeight="1" x14ac:dyDescent="0.35">
      <c r="N501" s="7"/>
    </row>
    <row r="502" spans="14:14" ht="14.25" customHeight="1" x14ac:dyDescent="0.35">
      <c r="N502" s="7"/>
    </row>
    <row r="503" spans="14:14" ht="14.25" customHeight="1" x14ac:dyDescent="0.35">
      <c r="N503" s="7"/>
    </row>
    <row r="504" spans="14:14" ht="14.25" customHeight="1" x14ac:dyDescent="0.35">
      <c r="N504" s="7"/>
    </row>
    <row r="505" spans="14:14" ht="14.25" customHeight="1" x14ac:dyDescent="0.35">
      <c r="N505" s="7"/>
    </row>
    <row r="506" spans="14:14" ht="14.25" customHeight="1" x14ac:dyDescent="0.35">
      <c r="N506" s="7"/>
    </row>
    <row r="507" spans="14:14" ht="14.25" customHeight="1" x14ac:dyDescent="0.35">
      <c r="N507" s="7"/>
    </row>
    <row r="508" spans="14:14" ht="14.25" customHeight="1" x14ac:dyDescent="0.35">
      <c r="N508" s="7"/>
    </row>
    <row r="509" spans="14:14" ht="14.25" customHeight="1" x14ac:dyDescent="0.35">
      <c r="N509" s="7"/>
    </row>
    <row r="510" spans="14:14" ht="14.25" customHeight="1" x14ac:dyDescent="0.35">
      <c r="N510" s="7"/>
    </row>
    <row r="511" spans="14:14" ht="14.25" customHeight="1" x14ac:dyDescent="0.35">
      <c r="N511" s="7"/>
    </row>
    <row r="512" spans="14:14" ht="14.25" customHeight="1" x14ac:dyDescent="0.35">
      <c r="N512" s="7"/>
    </row>
    <row r="513" spans="14:14" ht="14.25" customHeight="1" x14ac:dyDescent="0.35">
      <c r="N513" s="7"/>
    </row>
    <row r="514" spans="14:14" ht="14.25" customHeight="1" x14ac:dyDescent="0.35">
      <c r="N514" s="7"/>
    </row>
    <row r="515" spans="14:14" ht="14.25" customHeight="1" x14ac:dyDescent="0.35">
      <c r="N515" s="7"/>
    </row>
    <row r="516" spans="14:14" ht="14.25" customHeight="1" x14ac:dyDescent="0.35">
      <c r="N516" s="7"/>
    </row>
    <row r="517" spans="14:14" ht="14.25" customHeight="1" x14ac:dyDescent="0.35">
      <c r="N517" s="7"/>
    </row>
    <row r="518" spans="14:14" ht="14.25" customHeight="1" x14ac:dyDescent="0.35">
      <c r="N518" s="7"/>
    </row>
    <row r="519" spans="14:14" ht="14.25" customHeight="1" x14ac:dyDescent="0.35">
      <c r="N519" s="7"/>
    </row>
    <row r="520" spans="14:14" ht="14.25" customHeight="1" x14ac:dyDescent="0.35">
      <c r="N520" s="7"/>
    </row>
    <row r="521" spans="14:14" ht="14.25" customHeight="1" x14ac:dyDescent="0.35">
      <c r="N521" s="7"/>
    </row>
    <row r="522" spans="14:14" ht="14.25" customHeight="1" x14ac:dyDescent="0.35">
      <c r="N522" s="7"/>
    </row>
    <row r="523" spans="14:14" ht="14.25" customHeight="1" x14ac:dyDescent="0.35">
      <c r="N523" s="7"/>
    </row>
    <row r="524" spans="14:14" ht="14.25" customHeight="1" x14ac:dyDescent="0.35">
      <c r="N524" s="7"/>
    </row>
    <row r="525" spans="14:14" ht="14.25" customHeight="1" x14ac:dyDescent="0.35">
      <c r="N525" s="7"/>
    </row>
    <row r="526" spans="14:14" ht="14.25" customHeight="1" x14ac:dyDescent="0.35">
      <c r="N526" s="7"/>
    </row>
    <row r="527" spans="14:14" ht="14.25" customHeight="1" x14ac:dyDescent="0.35">
      <c r="N527" s="7"/>
    </row>
    <row r="528" spans="14:14" ht="14.25" customHeight="1" x14ac:dyDescent="0.35">
      <c r="N528" s="7"/>
    </row>
    <row r="529" spans="14:14" ht="14.25" customHeight="1" x14ac:dyDescent="0.35">
      <c r="N529" s="7"/>
    </row>
    <row r="530" spans="14:14" ht="14.25" customHeight="1" x14ac:dyDescent="0.35">
      <c r="N530" s="7"/>
    </row>
    <row r="531" spans="14:14" ht="14.25" customHeight="1" x14ac:dyDescent="0.35">
      <c r="N531" s="7"/>
    </row>
    <row r="532" spans="14:14" ht="14.25" customHeight="1" x14ac:dyDescent="0.35">
      <c r="N532" s="7"/>
    </row>
    <row r="533" spans="14:14" ht="14.25" customHeight="1" x14ac:dyDescent="0.35">
      <c r="N533" s="7"/>
    </row>
    <row r="534" spans="14:14" ht="14.25" customHeight="1" x14ac:dyDescent="0.35">
      <c r="N534" s="7"/>
    </row>
    <row r="535" spans="14:14" ht="14.25" customHeight="1" x14ac:dyDescent="0.35">
      <c r="N535" s="7"/>
    </row>
    <row r="536" spans="14:14" ht="14.25" customHeight="1" x14ac:dyDescent="0.35">
      <c r="N536" s="7"/>
    </row>
    <row r="537" spans="14:14" ht="14.25" customHeight="1" x14ac:dyDescent="0.35">
      <c r="N537" s="7"/>
    </row>
    <row r="538" spans="14:14" ht="14.25" customHeight="1" x14ac:dyDescent="0.35">
      <c r="N538" s="7"/>
    </row>
    <row r="539" spans="14:14" ht="14.25" customHeight="1" x14ac:dyDescent="0.35">
      <c r="N539" s="7"/>
    </row>
    <row r="540" spans="14:14" ht="14.25" customHeight="1" x14ac:dyDescent="0.35">
      <c r="N540" s="7"/>
    </row>
    <row r="541" spans="14:14" ht="14.25" customHeight="1" x14ac:dyDescent="0.35">
      <c r="N541" s="7"/>
    </row>
    <row r="542" spans="14:14" ht="14.25" customHeight="1" x14ac:dyDescent="0.35">
      <c r="N542" s="7"/>
    </row>
    <row r="543" spans="14:14" ht="14.25" customHeight="1" x14ac:dyDescent="0.35">
      <c r="N543" s="7"/>
    </row>
    <row r="544" spans="14:14" ht="14.25" customHeight="1" x14ac:dyDescent="0.35">
      <c r="N544" s="7"/>
    </row>
    <row r="545" spans="14:14" ht="14.25" customHeight="1" x14ac:dyDescent="0.35">
      <c r="N545" s="7"/>
    </row>
    <row r="546" spans="14:14" ht="14.25" customHeight="1" x14ac:dyDescent="0.35">
      <c r="N546" s="7"/>
    </row>
    <row r="547" spans="14:14" ht="14.25" customHeight="1" x14ac:dyDescent="0.35">
      <c r="N547" s="7"/>
    </row>
    <row r="548" spans="14:14" ht="14.25" customHeight="1" x14ac:dyDescent="0.35">
      <c r="N548" s="7"/>
    </row>
    <row r="549" spans="14:14" ht="14.25" customHeight="1" x14ac:dyDescent="0.35">
      <c r="N549" s="7"/>
    </row>
    <row r="550" spans="14:14" ht="14.25" customHeight="1" x14ac:dyDescent="0.35">
      <c r="N550" s="7"/>
    </row>
    <row r="551" spans="14:14" ht="14.25" customHeight="1" x14ac:dyDescent="0.35">
      <c r="N551" s="7"/>
    </row>
    <row r="552" spans="14:14" ht="14.25" customHeight="1" x14ac:dyDescent="0.35">
      <c r="N552" s="7"/>
    </row>
    <row r="553" spans="14:14" ht="14.25" customHeight="1" x14ac:dyDescent="0.35">
      <c r="N553" s="7"/>
    </row>
    <row r="554" spans="14:14" ht="14.25" customHeight="1" x14ac:dyDescent="0.35">
      <c r="N554" s="7"/>
    </row>
    <row r="555" spans="14:14" ht="14.25" customHeight="1" x14ac:dyDescent="0.35">
      <c r="N555" s="7"/>
    </row>
    <row r="556" spans="14:14" ht="14.25" customHeight="1" x14ac:dyDescent="0.35">
      <c r="N556" s="7"/>
    </row>
    <row r="557" spans="14:14" ht="14.25" customHeight="1" x14ac:dyDescent="0.35">
      <c r="N557" s="7"/>
    </row>
    <row r="558" spans="14:14" ht="14.25" customHeight="1" x14ac:dyDescent="0.35">
      <c r="N558" s="7"/>
    </row>
    <row r="559" spans="14:14" ht="14.25" customHeight="1" x14ac:dyDescent="0.35">
      <c r="N559" s="7"/>
    </row>
    <row r="560" spans="14:14" ht="14.25" customHeight="1" x14ac:dyDescent="0.35">
      <c r="N560" s="7"/>
    </row>
    <row r="561" spans="14:14" ht="14.25" customHeight="1" x14ac:dyDescent="0.35">
      <c r="N561" s="7"/>
    </row>
    <row r="562" spans="14:14" ht="14.25" customHeight="1" x14ac:dyDescent="0.35">
      <c r="N562" s="7"/>
    </row>
    <row r="563" spans="14:14" ht="14.25" customHeight="1" x14ac:dyDescent="0.35">
      <c r="N563" s="7"/>
    </row>
    <row r="564" spans="14:14" ht="14.25" customHeight="1" x14ac:dyDescent="0.35">
      <c r="N564" s="7"/>
    </row>
    <row r="565" spans="14:14" ht="14.25" customHeight="1" x14ac:dyDescent="0.35">
      <c r="N565" s="7"/>
    </row>
    <row r="566" spans="14:14" ht="14.25" customHeight="1" x14ac:dyDescent="0.35">
      <c r="N566" s="7"/>
    </row>
    <row r="567" spans="14:14" ht="14.25" customHeight="1" x14ac:dyDescent="0.35">
      <c r="N567" s="7"/>
    </row>
    <row r="568" spans="14:14" ht="14.25" customHeight="1" x14ac:dyDescent="0.35">
      <c r="N568" s="7"/>
    </row>
    <row r="569" spans="14:14" ht="14.25" customHeight="1" x14ac:dyDescent="0.35">
      <c r="N569" s="7"/>
    </row>
    <row r="570" spans="14:14" ht="14.25" customHeight="1" x14ac:dyDescent="0.35">
      <c r="N570" s="7"/>
    </row>
    <row r="571" spans="14:14" ht="14.25" customHeight="1" x14ac:dyDescent="0.35">
      <c r="N571" s="7"/>
    </row>
    <row r="572" spans="14:14" ht="14.25" customHeight="1" x14ac:dyDescent="0.35">
      <c r="N572" s="7"/>
    </row>
    <row r="573" spans="14:14" ht="14.25" customHeight="1" x14ac:dyDescent="0.35">
      <c r="N573" s="7"/>
    </row>
    <row r="574" spans="14:14" ht="14.25" customHeight="1" x14ac:dyDescent="0.35">
      <c r="N574" s="7"/>
    </row>
    <row r="575" spans="14:14" ht="14.25" customHeight="1" x14ac:dyDescent="0.35">
      <c r="N575" s="7"/>
    </row>
    <row r="576" spans="14:14" ht="14.25" customHeight="1" x14ac:dyDescent="0.35">
      <c r="N576" s="7"/>
    </row>
    <row r="577" spans="14:14" ht="14.25" customHeight="1" x14ac:dyDescent="0.35">
      <c r="N577" s="7"/>
    </row>
    <row r="578" spans="14:14" ht="14.25" customHeight="1" x14ac:dyDescent="0.35">
      <c r="N578" s="7"/>
    </row>
    <row r="579" spans="14:14" ht="14.25" customHeight="1" x14ac:dyDescent="0.35">
      <c r="N579" s="7"/>
    </row>
    <row r="580" spans="14:14" ht="14.25" customHeight="1" x14ac:dyDescent="0.35">
      <c r="N580" s="7"/>
    </row>
    <row r="581" spans="14:14" ht="14.25" customHeight="1" x14ac:dyDescent="0.35">
      <c r="N581" s="7"/>
    </row>
    <row r="582" spans="14:14" ht="14.25" customHeight="1" x14ac:dyDescent="0.35">
      <c r="N582" s="7"/>
    </row>
    <row r="583" spans="14:14" ht="14.25" customHeight="1" x14ac:dyDescent="0.35">
      <c r="N583" s="7"/>
    </row>
    <row r="584" spans="14:14" ht="14.25" customHeight="1" x14ac:dyDescent="0.35">
      <c r="N584" s="7"/>
    </row>
    <row r="585" spans="14:14" ht="14.25" customHeight="1" x14ac:dyDescent="0.35">
      <c r="N585" s="7"/>
    </row>
    <row r="586" spans="14:14" ht="14.25" customHeight="1" x14ac:dyDescent="0.35">
      <c r="N586" s="7"/>
    </row>
    <row r="587" spans="14:14" ht="14.25" customHeight="1" x14ac:dyDescent="0.35">
      <c r="N587" s="7"/>
    </row>
    <row r="588" spans="14:14" ht="14.25" customHeight="1" x14ac:dyDescent="0.35">
      <c r="N588" s="7"/>
    </row>
    <row r="589" spans="14:14" ht="14.25" customHeight="1" x14ac:dyDescent="0.35">
      <c r="N589" s="7"/>
    </row>
    <row r="590" spans="14:14" ht="14.25" customHeight="1" x14ac:dyDescent="0.35">
      <c r="N590" s="7"/>
    </row>
    <row r="591" spans="14:14" ht="14.25" customHeight="1" x14ac:dyDescent="0.35">
      <c r="N591" s="7"/>
    </row>
    <row r="592" spans="14:14" ht="14.25" customHeight="1" x14ac:dyDescent="0.35">
      <c r="N592" s="7"/>
    </row>
    <row r="593" spans="14:14" ht="14.25" customHeight="1" x14ac:dyDescent="0.35">
      <c r="N593" s="7"/>
    </row>
    <row r="594" spans="14:14" ht="14.25" customHeight="1" x14ac:dyDescent="0.35">
      <c r="N594" s="7"/>
    </row>
    <row r="595" spans="14:14" ht="14.25" customHeight="1" x14ac:dyDescent="0.35">
      <c r="N595" s="7"/>
    </row>
    <row r="596" spans="14:14" ht="14.25" customHeight="1" x14ac:dyDescent="0.35">
      <c r="N596" s="7"/>
    </row>
    <row r="597" spans="14:14" ht="14.25" customHeight="1" x14ac:dyDescent="0.35">
      <c r="N597" s="7"/>
    </row>
    <row r="598" spans="14:14" ht="14.25" customHeight="1" x14ac:dyDescent="0.35">
      <c r="N598" s="7"/>
    </row>
    <row r="599" spans="14:14" ht="14.25" customHeight="1" x14ac:dyDescent="0.35">
      <c r="N599" s="7"/>
    </row>
    <row r="600" spans="14:14" ht="14.25" customHeight="1" x14ac:dyDescent="0.35">
      <c r="N600" s="7"/>
    </row>
    <row r="601" spans="14:14" ht="14.25" customHeight="1" x14ac:dyDescent="0.35">
      <c r="N601" s="7"/>
    </row>
    <row r="602" spans="14:14" ht="14.25" customHeight="1" x14ac:dyDescent="0.35">
      <c r="N602" s="7"/>
    </row>
    <row r="603" spans="14:14" ht="14.25" customHeight="1" x14ac:dyDescent="0.35">
      <c r="N603" s="7"/>
    </row>
    <row r="604" spans="14:14" ht="14.25" customHeight="1" x14ac:dyDescent="0.35">
      <c r="N604" s="7"/>
    </row>
    <row r="605" spans="14:14" ht="14.25" customHeight="1" x14ac:dyDescent="0.35">
      <c r="N605" s="7"/>
    </row>
    <row r="606" spans="14:14" ht="14.25" customHeight="1" x14ac:dyDescent="0.35">
      <c r="N606" s="7"/>
    </row>
    <row r="607" spans="14:14" ht="14.25" customHeight="1" x14ac:dyDescent="0.35">
      <c r="N607" s="7"/>
    </row>
    <row r="608" spans="14:14" ht="14.25" customHeight="1" x14ac:dyDescent="0.35">
      <c r="N608" s="7"/>
    </row>
    <row r="609" spans="14:14" ht="14.25" customHeight="1" x14ac:dyDescent="0.35">
      <c r="N609" s="7"/>
    </row>
    <row r="610" spans="14:14" ht="14.25" customHeight="1" x14ac:dyDescent="0.35">
      <c r="N610" s="7"/>
    </row>
    <row r="611" spans="14:14" ht="14.25" customHeight="1" x14ac:dyDescent="0.35">
      <c r="N611" s="7"/>
    </row>
    <row r="612" spans="14:14" ht="14.25" customHeight="1" x14ac:dyDescent="0.35">
      <c r="N612" s="7"/>
    </row>
    <row r="613" spans="14:14" ht="14.25" customHeight="1" x14ac:dyDescent="0.35">
      <c r="N613" s="7"/>
    </row>
    <row r="614" spans="14:14" ht="14.25" customHeight="1" x14ac:dyDescent="0.35">
      <c r="N614" s="7"/>
    </row>
    <row r="615" spans="14:14" ht="14.25" customHeight="1" x14ac:dyDescent="0.35">
      <c r="N615" s="7"/>
    </row>
    <row r="616" spans="14:14" ht="14.25" customHeight="1" x14ac:dyDescent="0.35">
      <c r="N616" s="7"/>
    </row>
    <row r="617" spans="14:14" ht="14.25" customHeight="1" x14ac:dyDescent="0.35">
      <c r="N617" s="7"/>
    </row>
    <row r="618" spans="14:14" ht="14.25" customHeight="1" x14ac:dyDescent="0.35">
      <c r="N618" s="7"/>
    </row>
    <row r="619" spans="14:14" ht="14.25" customHeight="1" x14ac:dyDescent="0.35">
      <c r="N619" s="7"/>
    </row>
    <row r="620" spans="14:14" ht="14.25" customHeight="1" x14ac:dyDescent="0.35">
      <c r="N620" s="7"/>
    </row>
    <row r="621" spans="14:14" ht="14.25" customHeight="1" x14ac:dyDescent="0.35">
      <c r="N621" s="7"/>
    </row>
    <row r="622" spans="14:14" ht="14.25" customHeight="1" x14ac:dyDescent="0.35">
      <c r="N622" s="7"/>
    </row>
    <row r="623" spans="14:14" ht="14.25" customHeight="1" x14ac:dyDescent="0.35">
      <c r="N623" s="7"/>
    </row>
    <row r="624" spans="14:14" ht="14.25" customHeight="1" x14ac:dyDescent="0.35">
      <c r="N624" s="7"/>
    </row>
    <row r="625" spans="14:14" ht="14.25" customHeight="1" x14ac:dyDescent="0.35">
      <c r="N625" s="7"/>
    </row>
    <row r="626" spans="14:14" ht="14.25" customHeight="1" x14ac:dyDescent="0.35">
      <c r="N626" s="7"/>
    </row>
    <row r="627" spans="14:14" ht="14.25" customHeight="1" x14ac:dyDescent="0.35">
      <c r="N627" s="7"/>
    </row>
    <row r="628" spans="14:14" ht="14.25" customHeight="1" x14ac:dyDescent="0.35">
      <c r="N628" s="7"/>
    </row>
    <row r="629" spans="14:14" ht="14.25" customHeight="1" x14ac:dyDescent="0.35">
      <c r="N629" s="7"/>
    </row>
    <row r="630" spans="14:14" ht="14.25" customHeight="1" x14ac:dyDescent="0.35">
      <c r="N630" s="7"/>
    </row>
    <row r="631" spans="14:14" ht="14.25" customHeight="1" x14ac:dyDescent="0.35">
      <c r="N631" s="7"/>
    </row>
    <row r="632" spans="14:14" ht="14.25" customHeight="1" x14ac:dyDescent="0.35">
      <c r="N632" s="7"/>
    </row>
    <row r="633" spans="14:14" ht="14.25" customHeight="1" x14ac:dyDescent="0.35">
      <c r="N633" s="7"/>
    </row>
    <row r="634" spans="14:14" ht="14.25" customHeight="1" x14ac:dyDescent="0.35">
      <c r="N634" s="7"/>
    </row>
    <row r="635" spans="14:14" ht="14.25" customHeight="1" x14ac:dyDescent="0.35">
      <c r="N635" s="7"/>
    </row>
    <row r="636" spans="14:14" ht="14.25" customHeight="1" x14ac:dyDescent="0.35">
      <c r="N636" s="7"/>
    </row>
    <row r="637" spans="14:14" ht="14.25" customHeight="1" x14ac:dyDescent="0.35">
      <c r="N637" s="7"/>
    </row>
    <row r="638" spans="14:14" ht="14.25" customHeight="1" x14ac:dyDescent="0.35">
      <c r="N638" s="7"/>
    </row>
    <row r="639" spans="14:14" ht="14.25" customHeight="1" x14ac:dyDescent="0.35">
      <c r="N639" s="7"/>
    </row>
    <row r="640" spans="14:14" ht="14.25" customHeight="1" x14ac:dyDescent="0.35">
      <c r="N640" s="7"/>
    </row>
    <row r="641" spans="14:14" ht="14.25" customHeight="1" x14ac:dyDescent="0.35">
      <c r="N641" s="7"/>
    </row>
    <row r="642" spans="14:14" ht="14.25" customHeight="1" x14ac:dyDescent="0.35">
      <c r="N642" s="7"/>
    </row>
    <row r="643" spans="14:14" ht="14.25" customHeight="1" x14ac:dyDescent="0.35">
      <c r="N643" s="7"/>
    </row>
    <row r="644" spans="14:14" ht="14.25" customHeight="1" x14ac:dyDescent="0.35">
      <c r="N644" s="7"/>
    </row>
    <row r="645" spans="14:14" ht="14.25" customHeight="1" x14ac:dyDescent="0.35">
      <c r="N645" s="7"/>
    </row>
    <row r="646" spans="14:14" ht="14.25" customHeight="1" x14ac:dyDescent="0.35">
      <c r="N646" s="7"/>
    </row>
    <row r="647" spans="14:14" ht="14.25" customHeight="1" x14ac:dyDescent="0.35">
      <c r="N647" s="7"/>
    </row>
    <row r="648" spans="14:14" ht="14.25" customHeight="1" x14ac:dyDescent="0.35">
      <c r="N648" s="7"/>
    </row>
    <row r="649" spans="14:14" ht="14.25" customHeight="1" x14ac:dyDescent="0.35">
      <c r="N649" s="7"/>
    </row>
    <row r="650" spans="14:14" ht="14.25" customHeight="1" x14ac:dyDescent="0.35">
      <c r="N650" s="7"/>
    </row>
    <row r="651" spans="14:14" ht="14.25" customHeight="1" x14ac:dyDescent="0.35">
      <c r="N651" s="7"/>
    </row>
    <row r="652" spans="14:14" ht="14.25" customHeight="1" x14ac:dyDescent="0.35">
      <c r="N652" s="7"/>
    </row>
    <row r="653" spans="14:14" ht="14.25" customHeight="1" x14ac:dyDescent="0.35">
      <c r="N653" s="7"/>
    </row>
    <row r="654" spans="14:14" ht="14.25" customHeight="1" x14ac:dyDescent="0.35">
      <c r="N654" s="7"/>
    </row>
    <row r="655" spans="14:14" ht="14.25" customHeight="1" x14ac:dyDescent="0.35">
      <c r="N655" s="7"/>
    </row>
    <row r="656" spans="14:14" ht="14.25" customHeight="1" x14ac:dyDescent="0.35">
      <c r="N656" s="7"/>
    </row>
    <row r="657" spans="14:14" ht="14.25" customHeight="1" x14ac:dyDescent="0.35">
      <c r="N657" s="7"/>
    </row>
    <row r="658" spans="14:14" ht="14.25" customHeight="1" x14ac:dyDescent="0.35">
      <c r="N658" s="7"/>
    </row>
    <row r="659" spans="14:14" ht="14.25" customHeight="1" x14ac:dyDescent="0.35">
      <c r="N659" s="7"/>
    </row>
    <row r="660" spans="14:14" ht="14.25" customHeight="1" x14ac:dyDescent="0.35">
      <c r="N660" s="7"/>
    </row>
    <row r="661" spans="14:14" ht="14.25" customHeight="1" x14ac:dyDescent="0.35">
      <c r="N661" s="7"/>
    </row>
    <row r="662" spans="14:14" ht="14.25" customHeight="1" x14ac:dyDescent="0.35">
      <c r="N662" s="7"/>
    </row>
    <row r="663" spans="14:14" ht="14.25" customHeight="1" x14ac:dyDescent="0.35">
      <c r="N663" s="7"/>
    </row>
    <row r="664" spans="14:14" ht="14.25" customHeight="1" x14ac:dyDescent="0.35">
      <c r="N664" s="7"/>
    </row>
    <row r="665" spans="14:14" ht="14.25" customHeight="1" x14ac:dyDescent="0.35">
      <c r="N665" s="7"/>
    </row>
    <row r="666" spans="14:14" ht="14.25" customHeight="1" x14ac:dyDescent="0.35">
      <c r="N666" s="7"/>
    </row>
    <row r="667" spans="14:14" ht="14.25" customHeight="1" x14ac:dyDescent="0.35">
      <c r="N667" s="7"/>
    </row>
    <row r="668" spans="14:14" ht="14.25" customHeight="1" x14ac:dyDescent="0.35">
      <c r="N668" s="7"/>
    </row>
    <row r="669" spans="14:14" ht="14.25" customHeight="1" x14ac:dyDescent="0.35">
      <c r="N669" s="7"/>
    </row>
    <row r="670" spans="14:14" ht="14.25" customHeight="1" x14ac:dyDescent="0.35">
      <c r="N670" s="7"/>
    </row>
    <row r="671" spans="14:14" ht="14.25" customHeight="1" x14ac:dyDescent="0.35">
      <c r="N671" s="7"/>
    </row>
    <row r="672" spans="14:14" ht="14.25" customHeight="1" x14ac:dyDescent="0.35">
      <c r="N672" s="7"/>
    </row>
    <row r="673" spans="14:14" ht="14.25" customHeight="1" x14ac:dyDescent="0.35">
      <c r="N673" s="7"/>
    </row>
    <row r="674" spans="14:14" ht="14.25" customHeight="1" x14ac:dyDescent="0.35">
      <c r="N674" s="7"/>
    </row>
    <row r="675" spans="14:14" ht="14.25" customHeight="1" x14ac:dyDescent="0.35">
      <c r="N675" s="7"/>
    </row>
    <row r="676" spans="14:14" ht="14.25" customHeight="1" x14ac:dyDescent="0.35">
      <c r="N676" s="7"/>
    </row>
    <row r="677" spans="14:14" ht="14.25" customHeight="1" x14ac:dyDescent="0.35">
      <c r="N677" s="7"/>
    </row>
    <row r="678" spans="14:14" ht="14.25" customHeight="1" x14ac:dyDescent="0.35">
      <c r="N678" s="7"/>
    </row>
    <row r="679" spans="14:14" ht="14.25" customHeight="1" x14ac:dyDescent="0.35">
      <c r="N679" s="7"/>
    </row>
    <row r="680" spans="14:14" ht="14.25" customHeight="1" x14ac:dyDescent="0.35">
      <c r="N680" s="7"/>
    </row>
    <row r="681" spans="14:14" ht="14.25" customHeight="1" x14ac:dyDescent="0.35">
      <c r="N681" s="7"/>
    </row>
    <row r="682" spans="14:14" ht="14.25" customHeight="1" x14ac:dyDescent="0.35">
      <c r="N682" s="7"/>
    </row>
    <row r="683" spans="14:14" ht="14.25" customHeight="1" x14ac:dyDescent="0.35">
      <c r="N683" s="7"/>
    </row>
    <row r="684" spans="14:14" ht="14.25" customHeight="1" x14ac:dyDescent="0.35">
      <c r="N684" s="7"/>
    </row>
    <row r="685" spans="14:14" ht="14.25" customHeight="1" x14ac:dyDescent="0.35">
      <c r="N685" s="7"/>
    </row>
    <row r="686" spans="14:14" ht="14.25" customHeight="1" x14ac:dyDescent="0.35">
      <c r="N686" s="7"/>
    </row>
    <row r="687" spans="14:14" ht="14.25" customHeight="1" x14ac:dyDescent="0.35">
      <c r="N687" s="7"/>
    </row>
    <row r="688" spans="14:14" ht="14.25" customHeight="1" x14ac:dyDescent="0.35">
      <c r="N688" s="7"/>
    </row>
    <row r="689" spans="14:14" ht="14.25" customHeight="1" x14ac:dyDescent="0.35">
      <c r="N689" s="7"/>
    </row>
    <row r="690" spans="14:14" ht="14.25" customHeight="1" x14ac:dyDescent="0.35">
      <c r="N690" s="7"/>
    </row>
    <row r="691" spans="14:14" ht="14.25" customHeight="1" x14ac:dyDescent="0.35">
      <c r="N691" s="7"/>
    </row>
    <row r="692" spans="14:14" ht="14.25" customHeight="1" x14ac:dyDescent="0.35">
      <c r="N692" s="7"/>
    </row>
    <row r="693" spans="14:14" ht="14.25" customHeight="1" x14ac:dyDescent="0.35">
      <c r="N693" s="7"/>
    </row>
    <row r="694" spans="14:14" ht="14.25" customHeight="1" x14ac:dyDescent="0.35">
      <c r="N694" s="7"/>
    </row>
    <row r="695" spans="14:14" ht="14.25" customHeight="1" x14ac:dyDescent="0.35">
      <c r="N695" s="7"/>
    </row>
    <row r="696" spans="14:14" ht="14.25" customHeight="1" x14ac:dyDescent="0.35">
      <c r="N696" s="7"/>
    </row>
    <row r="697" spans="14:14" ht="14.25" customHeight="1" x14ac:dyDescent="0.35">
      <c r="N697" s="7"/>
    </row>
    <row r="698" spans="14:14" ht="14.25" customHeight="1" x14ac:dyDescent="0.35">
      <c r="N698" s="7"/>
    </row>
    <row r="699" spans="14:14" ht="14.25" customHeight="1" x14ac:dyDescent="0.35">
      <c r="N699" s="7"/>
    </row>
    <row r="700" spans="14:14" ht="14.25" customHeight="1" x14ac:dyDescent="0.35">
      <c r="N700" s="7"/>
    </row>
    <row r="701" spans="14:14" ht="14.25" customHeight="1" x14ac:dyDescent="0.35">
      <c r="N701" s="7"/>
    </row>
    <row r="702" spans="14:14" ht="14.25" customHeight="1" x14ac:dyDescent="0.35">
      <c r="N702" s="7"/>
    </row>
    <row r="703" spans="14:14" ht="14.25" customHeight="1" x14ac:dyDescent="0.35">
      <c r="N703" s="7"/>
    </row>
    <row r="704" spans="14:14" ht="14.25" customHeight="1" x14ac:dyDescent="0.35">
      <c r="N704" s="7"/>
    </row>
    <row r="705" spans="14:14" ht="14.25" customHeight="1" x14ac:dyDescent="0.35">
      <c r="N705" s="7"/>
    </row>
    <row r="706" spans="14:14" ht="14.25" customHeight="1" x14ac:dyDescent="0.35">
      <c r="N706" s="7"/>
    </row>
    <row r="707" spans="14:14" ht="14.25" customHeight="1" x14ac:dyDescent="0.35">
      <c r="N707" s="7"/>
    </row>
    <row r="708" spans="14:14" ht="14.25" customHeight="1" x14ac:dyDescent="0.35">
      <c r="N708" s="7"/>
    </row>
    <row r="709" spans="14:14" ht="14.25" customHeight="1" x14ac:dyDescent="0.35">
      <c r="N709" s="7"/>
    </row>
    <row r="710" spans="14:14" ht="14.25" customHeight="1" x14ac:dyDescent="0.35">
      <c r="N710" s="7"/>
    </row>
    <row r="711" spans="14:14" ht="14.25" customHeight="1" x14ac:dyDescent="0.35">
      <c r="N711" s="7"/>
    </row>
    <row r="712" spans="14:14" ht="14.25" customHeight="1" x14ac:dyDescent="0.35">
      <c r="N712" s="7"/>
    </row>
    <row r="713" spans="14:14" ht="14.25" customHeight="1" x14ac:dyDescent="0.35">
      <c r="N713" s="7"/>
    </row>
    <row r="714" spans="14:14" ht="14.25" customHeight="1" x14ac:dyDescent="0.35">
      <c r="N714" s="7"/>
    </row>
    <row r="715" spans="14:14" ht="14.25" customHeight="1" x14ac:dyDescent="0.35">
      <c r="N715" s="7"/>
    </row>
    <row r="716" spans="14:14" ht="14.25" customHeight="1" x14ac:dyDescent="0.35">
      <c r="N716" s="7"/>
    </row>
    <row r="717" spans="14:14" ht="14.25" customHeight="1" x14ac:dyDescent="0.35">
      <c r="N717" s="7"/>
    </row>
    <row r="718" spans="14:14" ht="14.25" customHeight="1" x14ac:dyDescent="0.35">
      <c r="N718" s="7"/>
    </row>
    <row r="719" spans="14:14" ht="14.25" customHeight="1" x14ac:dyDescent="0.35">
      <c r="N719" s="7"/>
    </row>
    <row r="720" spans="14:14" ht="14.25" customHeight="1" x14ac:dyDescent="0.35">
      <c r="N720" s="7"/>
    </row>
    <row r="721" spans="14:14" ht="14.25" customHeight="1" x14ac:dyDescent="0.35">
      <c r="N721" s="7"/>
    </row>
    <row r="722" spans="14:14" ht="14.25" customHeight="1" x14ac:dyDescent="0.35">
      <c r="N722" s="7"/>
    </row>
    <row r="723" spans="14:14" ht="14.25" customHeight="1" x14ac:dyDescent="0.35">
      <c r="N723" s="7"/>
    </row>
    <row r="724" spans="14:14" ht="14.25" customHeight="1" x14ac:dyDescent="0.35">
      <c r="N724" s="7"/>
    </row>
    <row r="725" spans="14:14" ht="14.25" customHeight="1" x14ac:dyDescent="0.35">
      <c r="N725" s="7"/>
    </row>
    <row r="726" spans="14:14" ht="14.25" customHeight="1" x14ac:dyDescent="0.35">
      <c r="N726" s="7"/>
    </row>
    <row r="727" spans="14:14" ht="14.25" customHeight="1" x14ac:dyDescent="0.35">
      <c r="N727" s="7"/>
    </row>
    <row r="728" spans="14:14" ht="14.25" customHeight="1" x14ac:dyDescent="0.35">
      <c r="N728" s="7"/>
    </row>
    <row r="729" spans="14:14" ht="14.25" customHeight="1" x14ac:dyDescent="0.35">
      <c r="N729" s="7"/>
    </row>
    <row r="730" spans="14:14" ht="14.25" customHeight="1" x14ac:dyDescent="0.35">
      <c r="N730" s="7"/>
    </row>
    <row r="731" spans="14:14" ht="14.25" customHeight="1" x14ac:dyDescent="0.35">
      <c r="N731" s="7"/>
    </row>
    <row r="732" spans="14:14" ht="14.25" customHeight="1" x14ac:dyDescent="0.35">
      <c r="N732" s="7"/>
    </row>
    <row r="733" spans="14:14" ht="14.25" customHeight="1" x14ac:dyDescent="0.35">
      <c r="N733" s="7"/>
    </row>
    <row r="734" spans="14:14" ht="14.25" customHeight="1" x14ac:dyDescent="0.35">
      <c r="N734" s="7"/>
    </row>
    <row r="735" spans="14:14" ht="14.25" customHeight="1" x14ac:dyDescent="0.35">
      <c r="N735" s="7"/>
    </row>
    <row r="736" spans="14:14" ht="14.25" customHeight="1" x14ac:dyDescent="0.35">
      <c r="N736" s="7"/>
    </row>
    <row r="737" spans="14:14" ht="14.25" customHeight="1" x14ac:dyDescent="0.35">
      <c r="N737" s="7"/>
    </row>
    <row r="738" spans="14:14" ht="14.25" customHeight="1" x14ac:dyDescent="0.35">
      <c r="N738" s="7"/>
    </row>
    <row r="739" spans="14:14" ht="14.25" customHeight="1" x14ac:dyDescent="0.35">
      <c r="N739" s="7"/>
    </row>
    <row r="740" spans="14:14" ht="14.25" customHeight="1" x14ac:dyDescent="0.35">
      <c r="N740" s="7"/>
    </row>
    <row r="741" spans="14:14" ht="14.25" customHeight="1" x14ac:dyDescent="0.35">
      <c r="N741" s="7"/>
    </row>
    <row r="742" spans="14:14" ht="14.25" customHeight="1" x14ac:dyDescent="0.35">
      <c r="N742" s="7"/>
    </row>
    <row r="743" spans="14:14" ht="14.25" customHeight="1" x14ac:dyDescent="0.35">
      <c r="N743" s="7"/>
    </row>
    <row r="744" spans="14:14" ht="14.25" customHeight="1" x14ac:dyDescent="0.35">
      <c r="N744" s="7"/>
    </row>
    <row r="745" spans="14:14" ht="14.25" customHeight="1" x14ac:dyDescent="0.35">
      <c r="N745" s="7"/>
    </row>
    <row r="746" spans="14:14" ht="14.25" customHeight="1" x14ac:dyDescent="0.35">
      <c r="N746" s="7"/>
    </row>
    <row r="747" spans="14:14" ht="14.25" customHeight="1" x14ac:dyDescent="0.35">
      <c r="N747" s="7"/>
    </row>
    <row r="748" spans="14:14" ht="14.25" customHeight="1" x14ac:dyDescent="0.35">
      <c r="N748" s="7"/>
    </row>
    <row r="749" spans="14:14" ht="14.25" customHeight="1" x14ac:dyDescent="0.35">
      <c r="N749" s="7"/>
    </row>
    <row r="750" spans="14:14" ht="14.25" customHeight="1" x14ac:dyDescent="0.35">
      <c r="N750" s="7"/>
    </row>
    <row r="751" spans="14:14" ht="14.25" customHeight="1" x14ac:dyDescent="0.35">
      <c r="N751" s="7"/>
    </row>
    <row r="752" spans="14:14" ht="14.25" customHeight="1" x14ac:dyDescent="0.35">
      <c r="N752" s="7"/>
    </row>
    <row r="753" spans="14:14" ht="14.25" customHeight="1" x14ac:dyDescent="0.35">
      <c r="N753" s="7"/>
    </row>
    <row r="754" spans="14:14" ht="14.25" customHeight="1" x14ac:dyDescent="0.35">
      <c r="N754" s="7"/>
    </row>
    <row r="755" spans="14:14" ht="14.25" customHeight="1" x14ac:dyDescent="0.35">
      <c r="N755" s="7"/>
    </row>
    <row r="756" spans="14:14" ht="14.25" customHeight="1" x14ac:dyDescent="0.35">
      <c r="N756" s="7"/>
    </row>
    <row r="757" spans="14:14" ht="14.25" customHeight="1" x14ac:dyDescent="0.35">
      <c r="N757" s="7"/>
    </row>
    <row r="758" spans="14:14" ht="14.25" customHeight="1" x14ac:dyDescent="0.35">
      <c r="N758" s="7"/>
    </row>
    <row r="759" spans="14:14" ht="14.25" customHeight="1" x14ac:dyDescent="0.35">
      <c r="N759" s="7"/>
    </row>
    <row r="760" spans="14:14" ht="14.25" customHeight="1" x14ac:dyDescent="0.35">
      <c r="N760" s="7"/>
    </row>
    <row r="761" spans="14:14" ht="14.25" customHeight="1" x14ac:dyDescent="0.35">
      <c r="N761" s="7"/>
    </row>
    <row r="762" spans="14:14" ht="14.25" customHeight="1" x14ac:dyDescent="0.35">
      <c r="N762" s="7"/>
    </row>
    <row r="763" spans="14:14" ht="14.25" customHeight="1" x14ac:dyDescent="0.35">
      <c r="N763" s="7"/>
    </row>
    <row r="764" spans="14:14" ht="14.25" customHeight="1" x14ac:dyDescent="0.35">
      <c r="N764" s="7"/>
    </row>
    <row r="765" spans="14:14" ht="14.25" customHeight="1" x14ac:dyDescent="0.35">
      <c r="N765" s="7"/>
    </row>
    <row r="766" spans="14:14" ht="14.25" customHeight="1" x14ac:dyDescent="0.35">
      <c r="N766" s="7"/>
    </row>
    <row r="767" spans="14:14" ht="14.25" customHeight="1" x14ac:dyDescent="0.35">
      <c r="N767" s="7"/>
    </row>
    <row r="768" spans="14:14" ht="14.25" customHeight="1" x14ac:dyDescent="0.35">
      <c r="N768" s="7"/>
    </row>
    <row r="769" spans="14:14" ht="14.25" customHeight="1" x14ac:dyDescent="0.35">
      <c r="N769" s="7"/>
    </row>
    <row r="770" spans="14:14" ht="14.25" customHeight="1" x14ac:dyDescent="0.35">
      <c r="N770" s="7"/>
    </row>
    <row r="771" spans="14:14" ht="14.25" customHeight="1" x14ac:dyDescent="0.35">
      <c r="N771" s="7"/>
    </row>
    <row r="772" spans="14:14" ht="14.25" customHeight="1" x14ac:dyDescent="0.35">
      <c r="N772" s="7"/>
    </row>
    <row r="773" spans="14:14" ht="14.25" customHeight="1" x14ac:dyDescent="0.35">
      <c r="N773" s="7"/>
    </row>
    <row r="774" spans="14:14" ht="14.25" customHeight="1" x14ac:dyDescent="0.35">
      <c r="N774" s="7"/>
    </row>
    <row r="775" spans="14:14" ht="14.25" customHeight="1" x14ac:dyDescent="0.35">
      <c r="N775" s="7"/>
    </row>
    <row r="776" spans="14:14" ht="14.25" customHeight="1" x14ac:dyDescent="0.35">
      <c r="N776" s="7"/>
    </row>
    <row r="777" spans="14:14" ht="14.25" customHeight="1" x14ac:dyDescent="0.35">
      <c r="N777" s="7"/>
    </row>
    <row r="778" spans="14:14" ht="14.25" customHeight="1" x14ac:dyDescent="0.35">
      <c r="N778" s="7"/>
    </row>
    <row r="779" spans="14:14" ht="14.25" customHeight="1" x14ac:dyDescent="0.35">
      <c r="N779" s="7"/>
    </row>
    <row r="780" spans="14:14" ht="14.25" customHeight="1" x14ac:dyDescent="0.35">
      <c r="N780" s="7"/>
    </row>
    <row r="781" spans="14:14" ht="14.25" customHeight="1" x14ac:dyDescent="0.35">
      <c r="N781" s="7"/>
    </row>
    <row r="782" spans="14:14" ht="14.25" customHeight="1" x14ac:dyDescent="0.35">
      <c r="N782" s="7"/>
    </row>
    <row r="783" spans="14:14" ht="14.25" customHeight="1" x14ac:dyDescent="0.35">
      <c r="N783" s="7"/>
    </row>
    <row r="784" spans="14:14" ht="14.25" customHeight="1" x14ac:dyDescent="0.35">
      <c r="N784" s="7"/>
    </row>
    <row r="785" spans="14:14" ht="14.25" customHeight="1" x14ac:dyDescent="0.35">
      <c r="N785" s="7"/>
    </row>
    <row r="786" spans="14:14" ht="14.25" customHeight="1" x14ac:dyDescent="0.35">
      <c r="N786" s="7"/>
    </row>
    <row r="787" spans="14:14" ht="14.25" customHeight="1" x14ac:dyDescent="0.35">
      <c r="N787" s="7"/>
    </row>
    <row r="788" spans="14:14" ht="14.25" customHeight="1" x14ac:dyDescent="0.35">
      <c r="N788" s="7"/>
    </row>
    <row r="789" spans="14:14" ht="14.25" customHeight="1" x14ac:dyDescent="0.35">
      <c r="N789" s="7"/>
    </row>
    <row r="790" spans="14:14" ht="14.25" customHeight="1" x14ac:dyDescent="0.35">
      <c r="N790" s="7"/>
    </row>
    <row r="791" spans="14:14" ht="14.25" customHeight="1" x14ac:dyDescent="0.35">
      <c r="N791" s="7"/>
    </row>
    <row r="792" spans="14:14" ht="14.25" customHeight="1" x14ac:dyDescent="0.35">
      <c r="N792" s="7"/>
    </row>
    <row r="793" spans="14:14" ht="14.25" customHeight="1" x14ac:dyDescent="0.35">
      <c r="N793" s="7"/>
    </row>
    <row r="794" spans="14:14" ht="14.25" customHeight="1" x14ac:dyDescent="0.35">
      <c r="N794" s="7"/>
    </row>
    <row r="795" spans="14:14" ht="14.25" customHeight="1" x14ac:dyDescent="0.35">
      <c r="N795" s="7"/>
    </row>
    <row r="796" spans="14:14" ht="14.25" customHeight="1" x14ac:dyDescent="0.35">
      <c r="N796" s="7"/>
    </row>
    <row r="797" spans="14:14" ht="14.25" customHeight="1" x14ac:dyDescent="0.35">
      <c r="N797" s="7"/>
    </row>
    <row r="798" spans="14:14" ht="14.25" customHeight="1" x14ac:dyDescent="0.35">
      <c r="N798" s="7"/>
    </row>
    <row r="799" spans="14:14" ht="14.25" customHeight="1" x14ac:dyDescent="0.35">
      <c r="N799" s="7"/>
    </row>
    <row r="800" spans="14:14" ht="14.25" customHeight="1" x14ac:dyDescent="0.35">
      <c r="N800" s="7"/>
    </row>
    <row r="801" spans="14:14" ht="14.25" customHeight="1" x14ac:dyDescent="0.35">
      <c r="N801" s="7"/>
    </row>
    <row r="802" spans="14:14" ht="14.25" customHeight="1" x14ac:dyDescent="0.35">
      <c r="N802" s="7"/>
    </row>
    <row r="803" spans="14:14" ht="14.25" customHeight="1" x14ac:dyDescent="0.35">
      <c r="N803" s="7"/>
    </row>
    <row r="804" spans="14:14" ht="14.25" customHeight="1" x14ac:dyDescent="0.35">
      <c r="N804" s="7"/>
    </row>
    <row r="805" spans="14:14" ht="14.25" customHeight="1" x14ac:dyDescent="0.35">
      <c r="N805" s="7"/>
    </row>
    <row r="806" spans="14:14" ht="14.25" customHeight="1" x14ac:dyDescent="0.35">
      <c r="N806" s="7"/>
    </row>
    <row r="807" spans="14:14" ht="14.25" customHeight="1" x14ac:dyDescent="0.35">
      <c r="N807" s="7"/>
    </row>
    <row r="808" spans="14:14" ht="14.25" customHeight="1" x14ac:dyDescent="0.35">
      <c r="N808" s="7"/>
    </row>
    <row r="809" spans="14:14" ht="14.25" customHeight="1" x14ac:dyDescent="0.35">
      <c r="N809" s="7"/>
    </row>
    <row r="810" spans="14:14" ht="14.25" customHeight="1" x14ac:dyDescent="0.35">
      <c r="N810" s="7"/>
    </row>
    <row r="811" spans="14:14" ht="14.25" customHeight="1" x14ac:dyDescent="0.35">
      <c r="N811" s="7"/>
    </row>
    <row r="812" spans="14:14" ht="14.25" customHeight="1" x14ac:dyDescent="0.35">
      <c r="N812" s="7"/>
    </row>
    <row r="813" spans="14:14" ht="14.25" customHeight="1" x14ac:dyDescent="0.35">
      <c r="N813" s="7"/>
    </row>
    <row r="814" spans="14:14" ht="14.25" customHeight="1" x14ac:dyDescent="0.35">
      <c r="N814" s="7"/>
    </row>
    <row r="815" spans="14:14" ht="14.25" customHeight="1" x14ac:dyDescent="0.35">
      <c r="N815" s="7"/>
    </row>
    <row r="816" spans="14:14" ht="14.25" customHeight="1" x14ac:dyDescent="0.35">
      <c r="N816" s="7"/>
    </row>
    <row r="817" spans="14:14" ht="14.25" customHeight="1" x14ac:dyDescent="0.35">
      <c r="N817" s="7"/>
    </row>
    <row r="818" spans="14:14" ht="14.25" customHeight="1" x14ac:dyDescent="0.35">
      <c r="N818" s="7"/>
    </row>
    <row r="819" spans="14:14" ht="14.25" customHeight="1" x14ac:dyDescent="0.35">
      <c r="N819" s="7"/>
    </row>
    <row r="820" spans="14:14" ht="14.25" customHeight="1" x14ac:dyDescent="0.35">
      <c r="N820" s="7"/>
    </row>
    <row r="821" spans="14:14" ht="14.25" customHeight="1" x14ac:dyDescent="0.35">
      <c r="N821" s="7"/>
    </row>
    <row r="822" spans="14:14" ht="14.25" customHeight="1" x14ac:dyDescent="0.35">
      <c r="N822" s="7"/>
    </row>
    <row r="823" spans="14:14" ht="14.25" customHeight="1" x14ac:dyDescent="0.35">
      <c r="N823" s="7"/>
    </row>
    <row r="824" spans="14:14" ht="14.25" customHeight="1" x14ac:dyDescent="0.35">
      <c r="N824" s="7"/>
    </row>
    <row r="825" spans="14:14" ht="14.25" customHeight="1" x14ac:dyDescent="0.35">
      <c r="N825" s="7"/>
    </row>
    <row r="826" spans="14:14" ht="14.25" customHeight="1" x14ac:dyDescent="0.35">
      <c r="N826" s="7"/>
    </row>
    <row r="827" spans="14:14" ht="14.25" customHeight="1" x14ac:dyDescent="0.35">
      <c r="N827" s="7"/>
    </row>
    <row r="828" spans="14:14" ht="14.25" customHeight="1" x14ac:dyDescent="0.35">
      <c r="N828" s="7"/>
    </row>
    <row r="829" spans="14:14" ht="14.25" customHeight="1" x14ac:dyDescent="0.35">
      <c r="N829" s="7"/>
    </row>
    <row r="830" spans="14:14" ht="14.25" customHeight="1" x14ac:dyDescent="0.35">
      <c r="N830" s="7"/>
    </row>
    <row r="831" spans="14:14" ht="14.25" customHeight="1" x14ac:dyDescent="0.35">
      <c r="N831" s="7"/>
    </row>
    <row r="832" spans="14:14" ht="14.25" customHeight="1" x14ac:dyDescent="0.35">
      <c r="N832" s="7"/>
    </row>
    <row r="833" spans="14:14" ht="14.25" customHeight="1" x14ac:dyDescent="0.35">
      <c r="N833" s="7"/>
    </row>
    <row r="834" spans="14:14" ht="14.25" customHeight="1" x14ac:dyDescent="0.35">
      <c r="N834" s="7"/>
    </row>
    <row r="835" spans="14:14" ht="14.25" customHeight="1" x14ac:dyDescent="0.35">
      <c r="N835" s="7"/>
    </row>
    <row r="836" spans="14:14" ht="14.25" customHeight="1" x14ac:dyDescent="0.35">
      <c r="N836" s="7"/>
    </row>
    <row r="837" spans="14:14" ht="14.25" customHeight="1" x14ac:dyDescent="0.35">
      <c r="N837" s="7"/>
    </row>
    <row r="838" spans="14:14" ht="14.25" customHeight="1" x14ac:dyDescent="0.35">
      <c r="N838" s="7"/>
    </row>
    <row r="839" spans="14:14" ht="14.25" customHeight="1" x14ac:dyDescent="0.35">
      <c r="N839" s="7"/>
    </row>
    <row r="840" spans="14:14" ht="14.25" customHeight="1" x14ac:dyDescent="0.35">
      <c r="N840" s="7"/>
    </row>
    <row r="841" spans="14:14" ht="14.25" customHeight="1" x14ac:dyDescent="0.35">
      <c r="N841" s="7"/>
    </row>
    <row r="842" spans="14:14" ht="14.25" customHeight="1" x14ac:dyDescent="0.35">
      <c r="N842" s="7"/>
    </row>
    <row r="843" spans="14:14" ht="14.25" customHeight="1" x14ac:dyDescent="0.35">
      <c r="N843" s="7"/>
    </row>
    <row r="844" spans="14:14" ht="14.25" customHeight="1" x14ac:dyDescent="0.35">
      <c r="N844" s="7"/>
    </row>
    <row r="845" spans="14:14" ht="14.25" customHeight="1" x14ac:dyDescent="0.35">
      <c r="N845" s="7"/>
    </row>
    <row r="846" spans="14:14" ht="14.25" customHeight="1" x14ac:dyDescent="0.35">
      <c r="N846" s="7"/>
    </row>
    <row r="847" spans="14:14" ht="14.25" customHeight="1" x14ac:dyDescent="0.35">
      <c r="N847" s="7"/>
    </row>
    <row r="848" spans="14:14" ht="14.25" customHeight="1" x14ac:dyDescent="0.35">
      <c r="N848" s="7"/>
    </row>
    <row r="849" spans="14:14" ht="14.25" customHeight="1" x14ac:dyDescent="0.35">
      <c r="N849" s="7"/>
    </row>
    <row r="850" spans="14:14" ht="14.25" customHeight="1" x14ac:dyDescent="0.35">
      <c r="N850" s="7"/>
    </row>
    <row r="851" spans="14:14" ht="14.25" customHeight="1" x14ac:dyDescent="0.35">
      <c r="N851" s="7"/>
    </row>
    <row r="852" spans="14:14" ht="14.25" customHeight="1" x14ac:dyDescent="0.35">
      <c r="N852" s="7"/>
    </row>
    <row r="853" spans="14:14" ht="14.25" customHeight="1" x14ac:dyDescent="0.35">
      <c r="N853" s="7"/>
    </row>
    <row r="854" spans="14:14" ht="14.25" customHeight="1" x14ac:dyDescent="0.35">
      <c r="N854" s="7"/>
    </row>
    <row r="855" spans="14:14" ht="14.25" customHeight="1" x14ac:dyDescent="0.35">
      <c r="N855" s="7"/>
    </row>
    <row r="856" spans="14:14" ht="14.25" customHeight="1" x14ac:dyDescent="0.35">
      <c r="N856" s="7"/>
    </row>
    <row r="857" spans="14:14" ht="14.25" customHeight="1" x14ac:dyDescent="0.35">
      <c r="N857" s="7"/>
    </row>
    <row r="858" spans="14:14" ht="14.25" customHeight="1" x14ac:dyDescent="0.35">
      <c r="N858" s="7"/>
    </row>
    <row r="859" spans="14:14" ht="14.25" customHeight="1" x14ac:dyDescent="0.35">
      <c r="N859" s="7"/>
    </row>
    <row r="860" spans="14:14" ht="14.25" customHeight="1" x14ac:dyDescent="0.35">
      <c r="N860" s="7"/>
    </row>
    <row r="861" spans="14:14" ht="14.25" customHeight="1" x14ac:dyDescent="0.35">
      <c r="N861" s="7"/>
    </row>
    <row r="862" spans="14:14" ht="14.25" customHeight="1" x14ac:dyDescent="0.35">
      <c r="N862" s="7"/>
    </row>
    <row r="863" spans="14:14" ht="14.25" customHeight="1" x14ac:dyDescent="0.35">
      <c r="N863" s="7"/>
    </row>
    <row r="864" spans="14:14" ht="14.25" customHeight="1" x14ac:dyDescent="0.35">
      <c r="N864" s="7"/>
    </row>
    <row r="865" spans="14:14" ht="14.25" customHeight="1" x14ac:dyDescent="0.35">
      <c r="N865" s="7"/>
    </row>
    <row r="866" spans="14:14" ht="14.25" customHeight="1" x14ac:dyDescent="0.35">
      <c r="N866" s="7"/>
    </row>
    <row r="867" spans="14:14" ht="14.25" customHeight="1" x14ac:dyDescent="0.35">
      <c r="N867" s="7"/>
    </row>
    <row r="868" spans="14:14" ht="14.25" customHeight="1" x14ac:dyDescent="0.35">
      <c r="N868" s="7"/>
    </row>
    <row r="869" spans="14:14" ht="14.25" customHeight="1" x14ac:dyDescent="0.35">
      <c r="N869" s="7"/>
    </row>
    <row r="870" spans="14:14" ht="14.25" customHeight="1" x14ac:dyDescent="0.35">
      <c r="N870" s="7"/>
    </row>
    <row r="871" spans="14:14" ht="14.25" customHeight="1" x14ac:dyDescent="0.35">
      <c r="N871" s="7"/>
    </row>
    <row r="872" spans="14:14" ht="14.25" customHeight="1" x14ac:dyDescent="0.35">
      <c r="N872" s="7"/>
    </row>
    <row r="873" spans="14:14" ht="14.25" customHeight="1" x14ac:dyDescent="0.35">
      <c r="N873" s="7"/>
    </row>
    <row r="874" spans="14:14" ht="14.25" customHeight="1" x14ac:dyDescent="0.35">
      <c r="N874" s="7"/>
    </row>
    <row r="875" spans="14:14" ht="14.25" customHeight="1" x14ac:dyDescent="0.35">
      <c r="N875" s="7"/>
    </row>
    <row r="876" spans="14:14" ht="14.25" customHeight="1" x14ac:dyDescent="0.35">
      <c r="N876" s="7"/>
    </row>
    <row r="877" spans="14:14" ht="14.25" customHeight="1" x14ac:dyDescent="0.35">
      <c r="N877" s="7"/>
    </row>
    <row r="878" spans="14:14" ht="14.25" customHeight="1" x14ac:dyDescent="0.35">
      <c r="N878" s="7"/>
    </row>
    <row r="879" spans="14:14" ht="14.25" customHeight="1" x14ac:dyDescent="0.35">
      <c r="N879" s="7"/>
    </row>
    <row r="880" spans="14:14" ht="14.25" customHeight="1" x14ac:dyDescent="0.35">
      <c r="N880" s="7"/>
    </row>
    <row r="881" spans="14:14" ht="14.25" customHeight="1" x14ac:dyDescent="0.35">
      <c r="N881" s="7"/>
    </row>
    <row r="882" spans="14:14" ht="14.25" customHeight="1" x14ac:dyDescent="0.35">
      <c r="N882" s="7"/>
    </row>
    <row r="883" spans="14:14" ht="14.25" customHeight="1" x14ac:dyDescent="0.35">
      <c r="N883" s="7"/>
    </row>
    <row r="884" spans="14:14" ht="14.25" customHeight="1" x14ac:dyDescent="0.35">
      <c r="N884" s="7"/>
    </row>
    <row r="885" spans="14:14" ht="14.25" customHeight="1" x14ac:dyDescent="0.35">
      <c r="N885" s="7"/>
    </row>
    <row r="886" spans="14:14" ht="14.25" customHeight="1" x14ac:dyDescent="0.35">
      <c r="N886" s="7"/>
    </row>
    <row r="887" spans="14:14" ht="14.25" customHeight="1" x14ac:dyDescent="0.35">
      <c r="N887" s="7"/>
    </row>
    <row r="888" spans="14:14" ht="14.25" customHeight="1" x14ac:dyDescent="0.35">
      <c r="N888" s="7"/>
    </row>
    <row r="889" spans="14:14" ht="14.25" customHeight="1" x14ac:dyDescent="0.35">
      <c r="N889" s="7"/>
    </row>
    <row r="890" spans="14:14" ht="14.25" customHeight="1" x14ac:dyDescent="0.35">
      <c r="N890" s="7"/>
    </row>
    <row r="891" spans="14:14" ht="14.25" customHeight="1" x14ac:dyDescent="0.35">
      <c r="N891" s="7"/>
    </row>
    <row r="892" spans="14:14" ht="14.25" customHeight="1" x14ac:dyDescent="0.35">
      <c r="N892" s="7"/>
    </row>
    <row r="893" spans="14:14" ht="14.25" customHeight="1" x14ac:dyDescent="0.35">
      <c r="N893" s="7"/>
    </row>
    <row r="894" spans="14:14" ht="14.25" customHeight="1" x14ac:dyDescent="0.35">
      <c r="N894" s="7"/>
    </row>
    <row r="895" spans="14:14" ht="14.25" customHeight="1" x14ac:dyDescent="0.35">
      <c r="N895" s="7"/>
    </row>
    <row r="896" spans="14:14" ht="14.25" customHeight="1" x14ac:dyDescent="0.35">
      <c r="N896" s="7"/>
    </row>
    <row r="897" spans="14:14" ht="14.25" customHeight="1" x14ac:dyDescent="0.35">
      <c r="N897" s="7"/>
    </row>
    <row r="898" spans="14:14" ht="14.25" customHeight="1" x14ac:dyDescent="0.35">
      <c r="N898" s="7"/>
    </row>
    <row r="899" spans="14:14" ht="14.25" customHeight="1" x14ac:dyDescent="0.35">
      <c r="N899" s="7"/>
    </row>
    <row r="900" spans="14:14" ht="14.25" customHeight="1" x14ac:dyDescent="0.35">
      <c r="N900" s="7"/>
    </row>
    <row r="901" spans="14:14" ht="14.25" customHeight="1" x14ac:dyDescent="0.35">
      <c r="N901" s="7"/>
    </row>
    <row r="902" spans="14:14" ht="14.25" customHeight="1" x14ac:dyDescent="0.35">
      <c r="N902" s="7"/>
    </row>
    <row r="903" spans="14:14" ht="14.25" customHeight="1" x14ac:dyDescent="0.35">
      <c r="N903" s="7"/>
    </row>
    <row r="904" spans="14:14" ht="14.25" customHeight="1" x14ac:dyDescent="0.35">
      <c r="N904" s="7"/>
    </row>
    <row r="905" spans="14:14" ht="14.25" customHeight="1" x14ac:dyDescent="0.35">
      <c r="N905" s="7"/>
    </row>
    <row r="906" spans="14:14" ht="14.25" customHeight="1" x14ac:dyDescent="0.35">
      <c r="N906" s="7"/>
    </row>
    <row r="907" spans="14:14" ht="14.25" customHeight="1" x14ac:dyDescent="0.35">
      <c r="N907" s="7"/>
    </row>
    <row r="908" spans="14:14" ht="14.25" customHeight="1" x14ac:dyDescent="0.35">
      <c r="N908" s="7"/>
    </row>
    <row r="909" spans="14:14" ht="14.25" customHeight="1" x14ac:dyDescent="0.35">
      <c r="N909" s="7"/>
    </row>
    <row r="910" spans="14:14" ht="14.25" customHeight="1" x14ac:dyDescent="0.35">
      <c r="N910" s="7"/>
    </row>
    <row r="911" spans="14:14" ht="14.25" customHeight="1" x14ac:dyDescent="0.35">
      <c r="N911" s="7"/>
    </row>
    <row r="912" spans="14:14" ht="14.25" customHeight="1" x14ac:dyDescent="0.35">
      <c r="N912" s="7"/>
    </row>
    <row r="913" spans="14:14" ht="14.25" customHeight="1" x14ac:dyDescent="0.35">
      <c r="N913" s="7"/>
    </row>
    <row r="914" spans="14:14" ht="14.25" customHeight="1" x14ac:dyDescent="0.35">
      <c r="N914" s="7"/>
    </row>
    <row r="915" spans="14:14" ht="14.25" customHeight="1" x14ac:dyDescent="0.35">
      <c r="N915" s="7"/>
    </row>
    <row r="916" spans="14:14" ht="14.25" customHeight="1" x14ac:dyDescent="0.35">
      <c r="N916" s="7"/>
    </row>
    <row r="917" spans="14:14" ht="14.25" customHeight="1" x14ac:dyDescent="0.35">
      <c r="N917" s="7"/>
    </row>
    <row r="918" spans="14:14" ht="14.25" customHeight="1" x14ac:dyDescent="0.35">
      <c r="N918" s="7"/>
    </row>
    <row r="919" spans="14:14" ht="14.25" customHeight="1" x14ac:dyDescent="0.35">
      <c r="N919" s="7"/>
    </row>
    <row r="920" spans="14:14" ht="14.25" customHeight="1" x14ac:dyDescent="0.35">
      <c r="N920" s="7"/>
    </row>
    <row r="921" spans="14:14" ht="14.25" customHeight="1" x14ac:dyDescent="0.35">
      <c r="N921" s="7"/>
    </row>
    <row r="922" spans="14:14" ht="14.25" customHeight="1" x14ac:dyDescent="0.35">
      <c r="N922" s="7"/>
    </row>
    <row r="923" spans="14:14" ht="14.25" customHeight="1" x14ac:dyDescent="0.35">
      <c r="N923" s="7"/>
    </row>
    <row r="924" spans="14:14" ht="14.25" customHeight="1" x14ac:dyDescent="0.35">
      <c r="N924" s="7"/>
    </row>
    <row r="925" spans="14:14" ht="14.25" customHeight="1" x14ac:dyDescent="0.35">
      <c r="N925" s="7"/>
    </row>
    <row r="926" spans="14:14" ht="14.25" customHeight="1" x14ac:dyDescent="0.35">
      <c r="N926" s="7"/>
    </row>
    <row r="927" spans="14:14" ht="14.25" customHeight="1" x14ac:dyDescent="0.35">
      <c r="N927" s="7"/>
    </row>
    <row r="928" spans="14:14" ht="14.25" customHeight="1" x14ac:dyDescent="0.35">
      <c r="N928" s="7"/>
    </row>
    <row r="929" spans="14:14" ht="14.25" customHeight="1" x14ac:dyDescent="0.35">
      <c r="N929" s="7"/>
    </row>
    <row r="930" spans="14:14" ht="14.25" customHeight="1" x14ac:dyDescent="0.35">
      <c r="N930" s="7"/>
    </row>
    <row r="931" spans="14:14" ht="14.25" customHeight="1" x14ac:dyDescent="0.35">
      <c r="N931" s="7"/>
    </row>
    <row r="932" spans="14:14" ht="14.25" customHeight="1" x14ac:dyDescent="0.35">
      <c r="N932" s="7"/>
    </row>
    <row r="933" spans="14:14" ht="14.25" customHeight="1" x14ac:dyDescent="0.35">
      <c r="N933" s="7"/>
    </row>
    <row r="934" spans="14:14" ht="14.25" customHeight="1" x14ac:dyDescent="0.35">
      <c r="N934" s="7"/>
    </row>
    <row r="935" spans="14:14" ht="14.25" customHeight="1" x14ac:dyDescent="0.35">
      <c r="N935" s="7"/>
    </row>
    <row r="936" spans="14:14" ht="14.25" customHeight="1" x14ac:dyDescent="0.35">
      <c r="N936" s="7"/>
    </row>
    <row r="937" spans="14:14" ht="14.25" customHeight="1" x14ac:dyDescent="0.35">
      <c r="N937" s="7"/>
    </row>
    <row r="938" spans="14:14" ht="14.25" customHeight="1" x14ac:dyDescent="0.35">
      <c r="N938" s="7"/>
    </row>
    <row r="939" spans="14:14" ht="14.25" customHeight="1" x14ac:dyDescent="0.35">
      <c r="N939" s="7"/>
    </row>
    <row r="940" spans="14:14" ht="14.25" customHeight="1" x14ac:dyDescent="0.35">
      <c r="N940" s="7"/>
    </row>
    <row r="941" spans="14:14" ht="14.25" customHeight="1" x14ac:dyDescent="0.35">
      <c r="N941" s="7"/>
    </row>
    <row r="942" spans="14:14" ht="14.25" customHeight="1" x14ac:dyDescent="0.35">
      <c r="N942" s="7"/>
    </row>
    <row r="943" spans="14:14" ht="14.25" customHeight="1" x14ac:dyDescent="0.35">
      <c r="N943" s="7"/>
    </row>
    <row r="944" spans="14:14" ht="14.25" customHeight="1" x14ac:dyDescent="0.35">
      <c r="N944" s="7"/>
    </row>
    <row r="945" spans="14:14" ht="14.25" customHeight="1" x14ac:dyDescent="0.35">
      <c r="N945" s="7"/>
    </row>
    <row r="946" spans="14:14" ht="14.25" customHeight="1" x14ac:dyDescent="0.35">
      <c r="N946" s="7"/>
    </row>
    <row r="947" spans="14:14" ht="14.25" customHeight="1" x14ac:dyDescent="0.35">
      <c r="N947" s="7"/>
    </row>
    <row r="948" spans="14:14" ht="14.25" customHeight="1" x14ac:dyDescent="0.35">
      <c r="N948" s="7"/>
    </row>
    <row r="949" spans="14:14" ht="14.25" customHeight="1" x14ac:dyDescent="0.35">
      <c r="N949" s="7"/>
    </row>
    <row r="950" spans="14:14" ht="14.25" customHeight="1" x14ac:dyDescent="0.35">
      <c r="N950" s="7"/>
    </row>
    <row r="951" spans="14:14" ht="14.25" customHeight="1" x14ac:dyDescent="0.35">
      <c r="N951" s="7"/>
    </row>
    <row r="952" spans="14:14" ht="14.25" customHeight="1" x14ac:dyDescent="0.35">
      <c r="N952" s="7"/>
    </row>
    <row r="953" spans="14:14" ht="14.25" customHeight="1" x14ac:dyDescent="0.35">
      <c r="N953" s="7"/>
    </row>
    <row r="954" spans="14:14" ht="14.25" customHeight="1" x14ac:dyDescent="0.35">
      <c r="N954" s="7"/>
    </row>
    <row r="955" spans="14:14" ht="14.25" customHeight="1" x14ac:dyDescent="0.35">
      <c r="N955" s="7"/>
    </row>
    <row r="956" spans="14:14" ht="14.25" customHeight="1" x14ac:dyDescent="0.35">
      <c r="N956" s="7"/>
    </row>
    <row r="957" spans="14:14" ht="14.25" customHeight="1" x14ac:dyDescent="0.35">
      <c r="N957" s="7"/>
    </row>
    <row r="958" spans="14:14" ht="14.25" customHeight="1" x14ac:dyDescent="0.35">
      <c r="N958" s="7"/>
    </row>
    <row r="959" spans="14:14" ht="14.25" customHeight="1" x14ac:dyDescent="0.35">
      <c r="N959" s="7"/>
    </row>
    <row r="960" spans="14:14" ht="14.25" customHeight="1" x14ac:dyDescent="0.35">
      <c r="N960" s="7"/>
    </row>
    <row r="961" spans="14:14" ht="14.25" customHeight="1" x14ac:dyDescent="0.35">
      <c r="N961" s="7"/>
    </row>
    <row r="962" spans="14:14" ht="14.25" customHeight="1" x14ac:dyDescent="0.35">
      <c r="N962" s="7"/>
    </row>
    <row r="963" spans="14:14" ht="14.25" customHeight="1" x14ac:dyDescent="0.35">
      <c r="N963" s="7"/>
    </row>
    <row r="964" spans="14:14" ht="14.25" customHeight="1" x14ac:dyDescent="0.35">
      <c r="N964" s="7"/>
    </row>
    <row r="965" spans="14:14" ht="14.25" customHeight="1" x14ac:dyDescent="0.35">
      <c r="N965" s="7"/>
    </row>
    <row r="966" spans="14:14" ht="14.25" customHeight="1" x14ac:dyDescent="0.35">
      <c r="N966" s="7"/>
    </row>
    <row r="967" spans="14:14" ht="14.25" customHeight="1" x14ac:dyDescent="0.35">
      <c r="N967" s="7"/>
    </row>
    <row r="968" spans="14:14" ht="14.25" customHeight="1" x14ac:dyDescent="0.35">
      <c r="N968" s="7"/>
    </row>
    <row r="969" spans="14:14" ht="14.25" customHeight="1" x14ac:dyDescent="0.35">
      <c r="N969" s="7"/>
    </row>
    <row r="970" spans="14:14" ht="14.25" customHeight="1" x14ac:dyDescent="0.35">
      <c r="N970" s="7"/>
    </row>
    <row r="971" spans="14:14" ht="14.25" customHeight="1" x14ac:dyDescent="0.35">
      <c r="N971" s="7"/>
    </row>
    <row r="972" spans="14:14" ht="14.25" customHeight="1" x14ac:dyDescent="0.35">
      <c r="N972" s="7"/>
    </row>
    <row r="973" spans="14:14" ht="14.25" customHeight="1" x14ac:dyDescent="0.35">
      <c r="N973" s="7"/>
    </row>
    <row r="974" spans="14:14" ht="14.25" customHeight="1" x14ac:dyDescent="0.35">
      <c r="N974" s="7"/>
    </row>
    <row r="975" spans="14:14" ht="14.25" customHeight="1" x14ac:dyDescent="0.35">
      <c r="N975" s="7"/>
    </row>
    <row r="976" spans="14:14" ht="14.25" customHeight="1" x14ac:dyDescent="0.35">
      <c r="N976" s="7"/>
    </row>
    <row r="977" spans="14:14" ht="14.25" customHeight="1" x14ac:dyDescent="0.35">
      <c r="N977" s="7"/>
    </row>
    <row r="978" spans="14:14" ht="14.25" customHeight="1" x14ac:dyDescent="0.35">
      <c r="N978" s="7"/>
    </row>
    <row r="979" spans="14:14" ht="14.25" customHeight="1" x14ac:dyDescent="0.35">
      <c r="N979" s="7"/>
    </row>
    <row r="980" spans="14:14" ht="14.25" customHeight="1" x14ac:dyDescent="0.35">
      <c r="N980" s="7"/>
    </row>
    <row r="981" spans="14:14" ht="14.25" customHeight="1" x14ac:dyDescent="0.35">
      <c r="N981" s="7"/>
    </row>
    <row r="982" spans="14:14" ht="14.25" customHeight="1" x14ac:dyDescent="0.35">
      <c r="N982" s="7"/>
    </row>
    <row r="983" spans="14:14" ht="14.25" customHeight="1" x14ac:dyDescent="0.35">
      <c r="N983" s="7"/>
    </row>
    <row r="984" spans="14:14" ht="14.25" customHeight="1" x14ac:dyDescent="0.35">
      <c r="N984" s="7"/>
    </row>
    <row r="985" spans="14:14" ht="14.25" customHeight="1" x14ac:dyDescent="0.35">
      <c r="N985" s="7"/>
    </row>
    <row r="986" spans="14:14" ht="14.25" customHeight="1" x14ac:dyDescent="0.35">
      <c r="N986" s="7"/>
    </row>
    <row r="987" spans="14:14" ht="14.25" customHeight="1" x14ac:dyDescent="0.35">
      <c r="N987" s="7"/>
    </row>
    <row r="988" spans="14:14" ht="14.25" customHeight="1" x14ac:dyDescent="0.35">
      <c r="N988" s="7"/>
    </row>
    <row r="989" spans="14:14" ht="14.25" customHeight="1" x14ac:dyDescent="0.35">
      <c r="N989" s="7"/>
    </row>
    <row r="990" spans="14:14" ht="14.25" customHeight="1" x14ac:dyDescent="0.35">
      <c r="N990" s="7"/>
    </row>
    <row r="991" spans="14:14" ht="14.25" customHeight="1" x14ac:dyDescent="0.35">
      <c r="N991" s="7"/>
    </row>
    <row r="992" spans="14:14" ht="14.25" customHeight="1" x14ac:dyDescent="0.35">
      <c r="N992" s="7"/>
    </row>
    <row r="993" spans="14:14" ht="14.25" customHeight="1" x14ac:dyDescent="0.35">
      <c r="N993" s="7"/>
    </row>
    <row r="994" spans="14:14" ht="14.25" customHeight="1" x14ac:dyDescent="0.35">
      <c r="N994" s="7"/>
    </row>
    <row r="995" spans="14:14" ht="14.25" customHeight="1" x14ac:dyDescent="0.35">
      <c r="N995" s="7"/>
    </row>
    <row r="996" spans="14:14" ht="14.25" customHeight="1" x14ac:dyDescent="0.35">
      <c r="N996" s="7"/>
    </row>
    <row r="997" spans="14:14" ht="14.25" customHeight="1" x14ac:dyDescent="0.35">
      <c r="N997" s="7"/>
    </row>
    <row r="998" spans="14:14" ht="14.25" customHeight="1" x14ac:dyDescent="0.35">
      <c r="N998" s="7"/>
    </row>
    <row r="999" spans="14:14" ht="14.25" customHeight="1" x14ac:dyDescent="0.35">
      <c r="N999" s="7"/>
    </row>
  </sheetData>
  <autoFilter ref="A1:AI999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9"/>
  <sheetViews>
    <sheetView workbookViewId="0"/>
  </sheetViews>
  <sheetFormatPr defaultColWidth="14.453125" defaultRowHeight="15" customHeight="1" x14ac:dyDescent="0.35"/>
  <sheetData>
    <row r="2" spans="1:3" x14ac:dyDescent="0.35">
      <c r="A2" s="1" t="s">
        <v>186</v>
      </c>
      <c r="B2" s="1" t="s">
        <v>13</v>
      </c>
      <c r="C2" s="1" t="s">
        <v>83</v>
      </c>
    </row>
    <row r="3" spans="1:3" x14ac:dyDescent="0.35">
      <c r="A3" s="1" t="s">
        <v>22</v>
      </c>
      <c r="B3" s="1">
        <f>COUNTIFS(BUTTS!K:K,"SHAM",BUTTS!J:J,"Downloaded")</f>
        <v>4</v>
      </c>
      <c r="C3" s="1">
        <f>COUNTIFS(BUTTS!K:K,"SHAM",BUTTS!J:J,"No Data")</f>
        <v>1</v>
      </c>
    </row>
    <row r="4" spans="1:3" x14ac:dyDescent="0.35">
      <c r="A4" s="1" t="s">
        <v>14</v>
      </c>
      <c r="B4" s="1">
        <f>COUNTIFS(BUTTS!K:K,"eVLP",BUTTS!J:J,"Downloaded")</f>
        <v>0</v>
      </c>
      <c r="C4" s="1">
        <f>COUNTIFS(BUTTS!K:K,"eVLP",BUTTS!J:J,"No Data")</f>
        <v>0</v>
      </c>
    </row>
    <row r="5" spans="1:3" x14ac:dyDescent="0.35">
      <c r="A5" s="1" t="s">
        <v>187</v>
      </c>
      <c r="B5" s="1">
        <f>COUNTIFS(BUTTS!K:K,"eVLP+POLY",BUTTS!J:J,"Downloaded")</f>
        <v>0</v>
      </c>
      <c r="C5" s="1">
        <f>COUNTIFS(BUTTS!K:K,"eVLP+POLY",BUTTS!J:J,"No Data")</f>
        <v>0</v>
      </c>
    </row>
    <row r="6" spans="1:3" x14ac:dyDescent="0.35">
      <c r="A6" s="1" t="s">
        <v>188</v>
      </c>
      <c r="B6" s="1">
        <f>COUNTIFS(BUTTS!K:K,"eVLP+cGAMP",BUTTS!J:J,"Downloaded")</f>
        <v>4</v>
      </c>
      <c r="C6" s="1">
        <f>COUNTIFS(BUTTS!K:K,"eVLP+cGAMP",BUTTS!J:J,"No Data")</f>
        <v>0</v>
      </c>
    </row>
    <row r="7" spans="1:3" x14ac:dyDescent="0.35">
      <c r="A7" s="1" t="s">
        <v>189</v>
      </c>
      <c r="B7" s="1">
        <f>COUNTIFS(BUTTS!K:K,"eVLP+LPS",BUTTS!J:J,"Downloaded")</f>
        <v>4</v>
      </c>
      <c r="C7" s="1">
        <f>COUNTIFS(BUTTS!K:K,"eVLP+LPS",BUTTS!J:J,"No Data")</f>
        <v>1</v>
      </c>
    </row>
    <row r="8" spans="1:3" x14ac:dyDescent="0.35">
      <c r="A8" s="1" t="s">
        <v>93</v>
      </c>
      <c r="B8" s="1">
        <f>COUNTIFS(BUTTS!K:K,"Cold",BUTTS!J:J,"Downloaded")</f>
        <v>0</v>
      </c>
      <c r="C8" s="1">
        <f>COUNTIFS(BUTTS!K:K,"Cold",BUTTS!J:J,"No Data")</f>
        <v>0</v>
      </c>
    </row>
    <row r="9" spans="1:3" x14ac:dyDescent="0.35">
      <c r="A9" s="1" t="s">
        <v>100</v>
      </c>
      <c r="B9" s="1">
        <f>COUNTIFS(BUTTS!K:K,"Hot",BUTTS!J:J,"Downloaded")</f>
        <v>4</v>
      </c>
      <c r="C9" s="1">
        <f>COUNTIFS(BUTTS!K:K,"Hot",BUTTS!J:J,"No Data")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"/>
  <sheetViews>
    <sheetView workbookViewId="0"/>
  </sheetViews>
  <sheetFormatPr defaultColWidth="14.453125" defaultRowHeight="15" customHeight="1" x14ac:dyDescent="0.35"/>
  <cols>
    <col min="2" max="2" width="20.26953125" customWidth="1"/>
  </cols>
  <sheetData>
    <row r="1" spans="1:6" x14ac:dyDescent="0.35">
      <c r="A1" s="1" t="s">
        <v>0</v>
      </c>
      <c r="B1" s="1" t="s">
        <v>190</v>
      </c>
      <c r="C1" s="1" t="s">
        <v>3</v>
      </c>
    </row>
    <row r="2" spans="1:6" x14ac:dyDescent="0.35">
      <c r="A2" s="1" t="s">
        <v>191</v>
      </c>
      <c r="B2" s="1" t="s">
        <v>192</v>
      </c>
      <c r="C2" s="1">
        <v>1</v>
      </c>
      <c r="E2" s="2">
        <v>45827</v>
      </c>
      <c r="F2" s="1" t="s">
        <v>13</v>
      </c>
    </row>
    <row r="3" spans="1:6" x14ac:dyDescent="0.35">
      <c r="A3" s="3" t="s">
        <v>193</v>
      </c>
      <c r="B3" s="1" t="s">
        <v>194</v>
      </c>
      <c r="C3" s="1">
        <v>1</v>
      </c>
      <c r="E3" s="2">
        <v>45827</v>
      </c>
      <c r="F3" s="1" t="s">
        <v>13</v>
      </c>
    </row>
    <row r="4" spans="1:6" x14ac:dyDescent="0.35">
      <c r="A4" s="1" t="s">
        <v>195</v>
      </c>
      <c r="B4" s="1" t="s">
        <v>196</v>
      </c>
      <c r="C4" s="1">
        <v>1</v>
      </c>
      <c r="E4" s="2">
        <v>45827</v>
      </c>
      <c r="F4" s="1" t="s">
        <v>13</v>
      </c>
    </row>
    <row r="5" spans="1:6" x14ac:dyDescent="0.35">
      <c r="A5" s="1" t="s">
        <v>197</v>
      </c>
      <c r="B5" s="1" t="s">
        <v>198</v>
      </c>
      <c r="C5" s="1">
        <v>3</v>
      </c>
    </row>
    <row r="6" spans="1:6" x14ac:dyDescent="0.35">
      <c r="A6" s="1" t="s">
        <v>199</v>
      </c>
      <c r="B6" s="1" t="s">
        <v>200</v>
      </c>
      <c r="C6" s="1">
        <v>3</v>
      </c>
    </row>
    <row r="7" spans="1:6" x14ac:dyDescent="0.35">
      <c r="A7" s="1" t="s">
        <v>201</v>
      </c>
      <c r="B7" s="1" t="s">
        <v>202</v>
      </c>
      <c r="C7" s="1">
        <v>3</v>
      </c>
    </row>
    <row r="8" spans="1:6" x14ac:dyDescent="0.35">
      <c r="A8" s="1" t="s">
        <v>203</v>
      </c>
      <c r="B8" s="1" t="s">
        <v>204</v>
      </c>
      <c r="C8" s="1">
        <v>3</v>
      </c>
    </row>
    <row r="9" spans="1:6" x14ac:dyDescent="0.35">
      <c r="A9" s="1" t="s">
        <v>205</v>
      </c>
      <c r="B9" s="1" t="s">
        <v>206</v>
      </c>
      <c r="C9" s="1">
        <v>3</v>
      </c>
    </row>
    <row r="10" spans="1:6" x14ac:dyDescent="0.35">
      <c r="A10" s="1" t="s">
        <v>205</v>
      </c>
      <c r="B10" s="1" t="s">
        <v>207</v>
      </c>
      <c r="C10" s="1">
        <v>3</v>
      </c>
      <c r="D10" s="2">
        <v>45822</v>
      </c>
      <c r="E10" s="2">
        <v>45826</v>
      </c>
      <c r="F10" s="1" t="s">
        <v>13</v>
      </c>
    </row>
    <row r="11" spans="1:6" x14ac:dyDescent="0.35">
      <c r="A11" s="1" t="s">
        <v>199</v>
      </c>
      <c r="B11" s="1" t="s">
        <v>208</v>
      </c>
      <c r="C11" s="1">
        <v>3</v>
      </c>
      <c r="D11" s="2">
        <v>45822</v>
      </c>
      <c r="E11" s="2">
        <v>45826</v>
      </c>
      <c r="F11" s="1" t="s">
        <v>13</v>
      </c>
    </row>
    <row r="12" spans="1:6" x14ac:dyDescent="0.35">
      <c r="A12" s="1" t="s">
        <v>209</v>
      </c>
      <c r="B12" s="1" t="s">
        <v>210</v>
      </c>
      <c r="C12" s="1" t="s">
        <v>211</v>
      </c>
      <c r="D12" s="2">
        <v>45822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BUTTS</vt:lpstr>
      <vt:lpstr>Counts</vt:lpstr>
      <vt:lpstr>Roost Temps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P Sak</dc:creator>
  <cp:lastModifiedBy>Ashlyn Sak</cp:lastModifiedBy>
  <dcterms:created xsi:type="dcterms:W3CDTF">2025-05-16T09:02:23Z</dcterms:created>
  <dcterms:modified xsi:type="dcterms:W3CDTF">2026-04-15T19:22:39Z</dcterms:modified>
</cp:coreProperties>
</file>