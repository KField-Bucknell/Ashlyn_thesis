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ocuments\Uganda\TemperatureLoggers\MOCO_2025\"/>
    </mc:Choice>
  </mc:AlternateContent>
  <xr:revisionPtr revIDLastSave="0" documentId="13_ncr:1_{840E5746-45B8-47C3-97C5-524341F09787}" xr6:coauthVersionLast="47" xr6:coauthVersionMax="47" xr10:uidLastSave="{00000000-0000-0000-0000-000000000000}"/>
  <bookViews>
    <workbookView xWindow="28680" yWindow="780" windowWidth="29040" windowHeight="15720" xr2:uid="{00000000-000D-0000-FFFF-FFFF00000000}"/>
  </bookViews>
  <sheets>
    <sheet name="BUTTS" sheetId="1" r:id="rId1"/>
    <sheet name="Counts" sheetId="2" r:id="rId2"/>
    <sheet name="Roost Temps" sheetId="3" r:id="rId3"/>
  </sheets>
  <definedNames>
    <definedName name="_xlnm._FilterDatabase" localSheetId="0" hidden="1">BUTTS!$A$1:$AK$997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MzSgHjgodVRhJ/PfKiowV8/+yYS264ZN8Bd1lIvVVtU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7" i="2"/>
  <c r="B7" i="2"/>
  <c r="C6" i="2"/>
  <c r="B6" i="2"/>
  <c r="C5" i="2"/>
  <c r="B5" i="2"/>
  <c r="C4" i="2"/>
  <c r="B4" i="2"/>
  <c r="C3" i="2"/>
  <c r="B3" i="2"/>
</calcChain>
</file>

<file path=xl/sharedStrings.xml><?xml version="1.0" encoding="utf-8"?>
<sst xmlns="http://schemas.openxmlformats.org/spreadsheetml/2006/main" count="389" uniqueCount="237">
  <si>
    <t>Serial Number</t>
  </si>
  <si>
    <t>Logger Name</t>
  </si>
  <si>
    <t>Bat Band</t>
  </si>
  <si>
    <t>Bat Pittag</t>
  </si>
  <si>
    <t>Group</t>
  </si>
  <si>
    <t xml:space="preserve">BUTT Status </t>
  </si>
  <si>
    <t>Treatment</t>
  </si>
  <si>
    <t>Logger location</t>
  </si>
  <si>
    <t>Notes</t>
  </si>
  <si>
    <t>BB00000081230841</t>
  </si>
  <si>
    <t>A1</t>
  </si>
  <si>
    <t>IE36076</t>
  </si>
  <si>
    <t>Downloaded</t>
  </si>
  <si>
    <t>eVLP</t>
  </si>
  <si>
    <t>B300000081225D41</t>
  </si>
  <si>
    <t>A2</t>
  </si>
  <si>
    <t>IE36014</t>
  </si>
  <si>
    <t>eVLP+cGAMP</t>
  </si>
  <si>
    <t>7F000000818B3741</t>
  </si>
  <si>
    <t>A3</t>
  </si>
  <si>
    <t>IE36102</t>
  </si>
  <si>
    <t>SHAM</t>
  </si>
  <si>
    <t>D8000000818C4541</t>
  </si>
  <si>
    <t>A4</t>
  </si>
  <si>
    <t>IE36042</t>
  </si>
  <si>
    <t>FF00000081816941</t>
  </si>
  <si>
    <t>A5</t>
  </si>
  <si>
    <t>IE36082</t>
  </si>
  <si>
    <t>eVLP+LPS</t>
  </si>
  <si>
    <t>63000000811C2F41</t>
  </si>
  <si>
    <t>A6</t>
  </si>
  <si>
    <t>IE36030</t>
  </si>
  <si>
    <t>2F0000008116ED41</t>
  </si>
  <si>
    <t>A7</t>
  </si>
  <si>
    <t>IE36074</t>
  </si>
  <si>
    <t>No data</t>
  </si>
  <si>
    <t>eVLP+POLY</t>
  </si>
  <si>
    <t>0700000081190F41</t>
  </si>
  <si>
    <t>B2</t>
  </si>
  <si>
    <t>IE36044</t>
  </si>
  <si>
    <t>770000008187D741</t>
  </si>
  <si>
    <t>B3</t>
  </si>
  <si>
    <t>IE36023</t>
  </si>
  <si>
    <t>Logger fell off - reattached</t>
  </si>
  <si>
    <t>E500000081218941</t>
  </si>
  <si>
    <t>B7</t>
  </si>
  <si>
    <t>IE36058</t>
  </si>
  <si>
    <t>76000000811A4241</t>
  </si>
  <si>
    <t>B9</t>
  </si>
  <si>
    <t>IE36088</t>
  </si>
  <si>
    <t>7D0000008122D241</t>
  </si>
  <si>
    <t>B4</t>
  </si>
  <si>
    <t>IE360005</t>
  </si>
  <si>
    <t>More glue added on 6-Jun</t>
  </si>
  <si>
    <t>2300000081816D41</t>
  </si>
  <si>
    <t>B10</t>
  </si>
  <si>
    <t>IE36060</t>
  </si>
  <si>
    <t>Logger fell off - reattached on butt on 6-Jun</t>
  </si>
  <si>
    <t>CD00000081881A41</t>
  </si>
  <si>
    <t>B15</t>
  </si>
  <si>
    <t>IE36051</t>
  </si>
  <si>
    <t>1C000000811B7F41</t>
  </si>
  <si>
    <t>A8</t>
  </si>
  <si>
    <t>IE36009</t>
  </si>
  <si>
    <t>46000000811E9741</t>
  </si>
  <si>
    <t>B11</t>
  </si>
  <si>
    <t>IE36071</t>
  </si>
  <si>
    <t>D3000000811C3A41</t>
  </si>
  <si>
    <t>B1</t>
  </si>
  <si>
    <t>IE36105</t>
  </si>
  <si>
    <t>A7000000811AA941</t>
  </si>
  <si>
    <t>B6</t>
  </si>
  <si>
    <t>IE36049</t>
  </si>
  <si>
    <t>B5</t>
  </si>
  <si>
    <t>IE36056</t>
  </si>
  <si>
    <t>Butt</t>
  </si>
  <si>
    <t>DF00000081814041</t>
  </si>
  <si>
    <t>B12</t>
  </si>
  <si>
    <t>IE36045</t>
  </si>
  <si>
    <t xml:space="preserve">Logger fell off - reattached </t>
  </si>
  <si>
    <t>B40000008187B741</t>
  </si>
  <si>
    <t>B14</t>
  </si>
  <si>
    <t>IE36013</t>
  </si>
  <si>
    <t>No Data</t>
  </si>
  <si>
    <t>04000000811ED641</t>
  </si>
  <si>
    <t>B8</t>
  </si>
  <si>
    <t>IE36029</t>
  </si>
  <si>
    <t>1000000081241041</t>
  </si>
  <si>
    <t>B13</t>
  </si>
  <si>
    <t>IE36098</t>
  </si>
  <si>
    <t>2D00000081244E41</t>
  </si>
  <si>
    <t>C1</t>
  </si>
  <si>
    <t>IE36054</t>
  </si>
  <si>
    <t>Cold</t>
  </si>
  <si>
    <t>F200000081239341</t>
  </si>
  <si>
    <t>B20</t>
  </si>
  <si>
    <t>Data does not look right, drops to -47</t>
  </si>
  <si>
    <t>4D00000081190241</t>
  </si>
  <si>
    <t>C2</t>
  </si>
  <si>
    <t>IE36083</t>
  </si>
  <si>
    <t>Hot</t>
  </si>
  <si>
    <t>5000000081186C41</t>
  </si>
  <si>
    <t>C3</t>
  </si>
  <si>
    <t>IE36070</t>
  </si>
  <si>
    <t>8300000081849D41</t>
  </si>
  <si>
    <t>C4</t>
  </si>
  <si>
    <t>IE36095</t>
  </si>
  <si>
    <t>01000000811F6C41</t>
  </si>
  <si>
    <t>A10</t>
  </si>
  <si>
    <t>Reattached on butt on 16-Jun</t>
  </si>
  <si>
    <t>7D000000818B2441</t>
  </si>
  <si>
    <t>C5</t>
  </si>
  <si>
    <t>IE36089</t>
  </si>
  <si>
    <t>9A000000818A5241</t>
  </si>
  <si>
    <t>C6</t>
  </si>
  <si>
    <t>IE36015</t>
  </si>
  <si>
    <t>Logger Lost</t>
  </si>
  <si>
    <t>7E00000081224441</t>
  </si>
  <si>
    <t>B16</t>
  </si>
  <si>
    <t>Fell off and reattached on 15-Jun</t>
  </si>
  <si>
    <t>B400000081858541</t>
  </si>
  <si>
    <t>C7</t>
  </si>
  <si>
    <t>IE36075</t>
  </si>
  <si>
    <t>Fell off and lost- attached C18 and never reattached C7</t>
  </si>
  <si>
    <t>3D000000818A6F41</t>
  </si>
  <si>
    <t>C18</t>
  </si>
  <si>
    <t>E6000000811F0341</t>
  </si>
  <si>
    <t>A14</t>
  </si>
  <si>
    <t>Bat removed logger the same night it was atttached. Circuit board exposed so discarded logger and attached new B19</t>
  </si>
  <si>
    <t>6100000081222041</t>
  </si>
  <si>
    <t>B19</t>
  </si>
  <si>
    <t>53000000811AC841</t>
  </si>
  <si>
    <t>C8</t>
  </si>
  <si>
    <t>IE36053</t>
  </si>
  <si>
    <t>AC00000081223941</t>
  </si>
  <si>
    <t>A9</t>
  </si>
  <si>
    <t>More glue added to logger on 15-Jun</t>
  </si>
  <si>
    <t>64000000811C9F41</t>
  </si>
  <si>
    <t>C9</t>
  </si>
  <si>
    <t>IE36091</t>
  </si>
  <si>
    <t>CB0000008181FE41</t>
  </si>
  <si>
    <t>C10</t>
  </si>
  <si>
    <t>IE36020</t>
  </si>
  <si>
    <t>CB0000008183CC41</t>
  </si>
  <si>
    <t>B22</t>
  </si>
  <si>
    <t>Fell off same day, reattached on 15-Jun</t>
  </si>
  <si>
    <t>260000008118BA41</t>
  </si>
  <si>
    <t>C11</t>
  </si>
  <si>
    <t>IE36024</t>
  </si>
  <si>
    <t>9A00000081838341</t>
  </si>
  <si>
    <t>A12</t>
  </si>
  <si>
    <t>Bat removed logger. Circuit board exposed so discarded logger and attached new B10</t>
  </si>
  <si>
    <t>Reused for bat 78 after bat 47 was done using</t>
  </si>
  <si>
    <t>C5000000811EA541</t>
  </si>
  <si>
    <t>C12</t>
  </si>
  <si>
    <t>IE36064</t>
  </si>
  <si>
    <t>1200000081836B41</t>
  </si>
  <si>
    <t>C13</t>
  </si>
  <si>
    <t>IE36028</t>
  </si>
  <si>
    <t>2B0000008189E941</t>
  </si>
  <si>
    <t>C14</t>
  </si>
  <si>
    <t>IE36025</t>
  </si>
  <si>
    <t>6D00000081871041</t>
  </si>
  <si>
    <t>C15</t>
  </si>
  <si>
    <t>IE36022</t>
  </si>
  <si>
    <t>8D000000818A7A41</t>
  </si>
  <si>
    <t>B18</t>
  </si>
  <si>
    <t>Reattatched on butt on 16-Jun</t>
  </si>
  <si>
    <t>71000000811DBD41</t>
  </si>
  <si>
    <t>C16</t>
  </si>
  <si>
    <t>IE36084</t>
  </si>
  <si>
    <t>1C00000081866F41</t>
  </si>
  <si>
    <t>C17</t>
  </si>
  <si>
    <t>IE36059</t>
  </si>
  <si>
    <t>6100000081194141</t>
  </si>
  <si>
    <t>B17</t>
  </si>
  <si>
    <t>B00000008121E041</t>
  </si>
  <si>
    <t>A11</t>
  </si>
  <si>
    <t>NA</t>
  </si>
  <si>
    <t>Not used</t>
  </si>
  <si>
    <t>95000000811F7641</t>
  </si>
  <si>
    <t>A13</t>
  </si>
  <si>
    <t>B5000000818B9E41</t>
  </si>
  <si>
    <t>B23</t>
  </si>
  <si>
    <t>06000000818A0441</t>
  </si>
  <si>
    <t>B21</t>
  </si>
  <si>
    <t>Treatments</t>
  </si>
  <si>
    <t>eVLP + POLY</t>
  </si>
  <si>
    <t>eVLP + cGAMP</t>
  </si>
  <si>
    <t>eVLP + LPS</t>
  </si>
  <si>
    <t>Location</t>
  </si>
  <si>
    <t>F900000081225041</t>
  </si>
  <si>
    <t>Union North</t>
  </si>
  <si>
    <t>9E0000008119FA41</t>
  </si>
  <si>
    <t>Union Ambient</t>
  </si>
  <si>
    <t>0800000081176D41</t>
  </si>
  <si>
    <t>Union East</t>
  </si>
  <si>
    <t>AC00000081200B41</t>
  </si>
  <si>
    <t>Rivendell/Cold Top</t>
  </si>
  <si>
    <t>16000000811C6F41</t>
  </si>
  <si>
    <t>Rivendell/Cold Bottom</t>
  </si>
  <si>
    <t>EF000000811ED341</t>
  </si>
  <si>
    <t>Incubator Ambient</t>
  </si>
  <si>
    <t>F300000081203D41</t>
  </si>
  <si>
    <t>Mordor/Hot Top</t>
  </si>
  <si>
    <t>B5000000811F5F41</t>
  </si>
  <si>
    <t>Mordor/Hot Bottom</t>
  </si>
  <si>
    <t>G3 Right side of right cage (south)</t>
  </si>
  <si>
    <t>G3 Left side of left cage (north)</t>
  </si>
  <si>
    <t>ED00000081189641</t>
  </si>
  <si>
    <t>Berlin</t>
  </si>
  <si>
    <t>1,2,3</t>
  </si>
  <si>
    <t>Fell off and not reattached</t>
  </si>
  <si>
    <t>Innoculation Date</t>
  </si>
  <si>
    <t>Boost Date</t>
  </si>
  <si>
    <t>Logger reattached 7-Jun</t>
  </si>
  <si>
    <t>Logger falling off and reattached 7-Jun</t>
  </si>
  <si>
    <t>Added more glue to logger on 16-Jun</t>
  </si>
  <si>
    <t>Logger fell off 22-May</t>
  </si>
  <si>
    <t>Logger half off on 21-May - reglued; Logger off on 25-May</t>
  </si>
  <si>
    <t>Died 26-May</t>
  </si>
  <si>
    <t>More glue added to logger 21-May; put down on 26-May</t>
  </si>
  <si>
    <t>Put down 31-May</t>
  </si>
  <si>
    <t>Died around 4-Jun</t>
  </si>
  <si>
    <t>Logger fell off - reattached maybe on 6-Jun</t>
  </si>
  <si>
    <t>Died in incubator on 23-May</t>
  </si>
  <si>
    <t>Dead on 27-May</t>
  </si>
  <si>
    <t>Found dead 11-Jun</t>
  </si>
  <si>
    <t>I think the logger fell off on 9-Jun</t>
  </si>
  <si>
    <t>Date Attached 1</t>
  </si>
  <si>
    <t>Date Removed 1</t>
  </si>
  <si>
    <t xml:space="preserve">Date Attached 2 </t>
  </si>
  <si>
    <t>Date Removed 2</t>
  </si>
  <si>
    <t>Date Attached 3</t>
  </si>
  <si>
    <t>Date Removed 3</t>
  </si>
  <si>
    <t>Logger Name 2</t>
  </si>
  <si>
    <t>Logger 2 on Butt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</si>
</sst>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m\-yy"/>
    <numFmt numFmtId="165" formatCode="m/d/yy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165" fontId="4" fillId="0" borderId="0" xfId="0" applyNumberFormat="1" applyFont="1"/>
    <xf numFmtId="11" fontId="5" fillId="0" borderId="0" xfId="0" applyNumberFormat="1" applyFont="1"/>
    <xf numFmtId="0" fontId="3" fillId="0" borderId="0" xfId="0" applyFont="1"/>
    <xf numFmtId="15" fontId="3" fillId="0" borderId="0" xfId="0" applyNumberFormat="1" applyFont="1"/>
    <xf numFmtId="0" fontId="6" fillId="0" borderId="0" xfId="0" applyFont="1"/>
    <xf numFmtId="15" fontId="6" fillId="0" borderId="0" xfId="0" applyNumberFormat="1" applyFont="1"/>
    <xf numFmtId="164" fontId="3" fillId="0" borderId="0" xfId="0" applyNumberFormat="1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7"/>
  <sheetViews>
    <sheetView tabSelected="1" topLeftCell="B25" zoomScale="110" zoomScaleNormal="110" workbookViewId="0">
      <selection activeCell="R26" sqref="R26"/>
    </sheetView>
  </sheetViews>
  <sheetFormatPr defaultColWidth="14.453125" defaultRowHeight="15" customHeight="1" x14ac:dyDescent="0.35"/>
  <cols>
    <col min="1" max="1" width="18.7265625" customWidth="1"/>
    <col min="2" max="2" width="12.453125" customWidth="1"/>
    <col min="3" max="3" width="8.7265625" customWidth="1"/>
    <col min="4" max="4" width="9.26953125" customWidth="1"/>
    <col min="5" max="5" width="8.7265625" customWidth="1"/>
    <col min="6" max="6" width="14.90625" bestFit="1" customWidth="1"/>
    <col min="7" max="7" width="15.81640625" bestFit="1" customWidth="1"/>
    <col min="8" max="12" width="15.81640625" customWidth="1"/>
    <col min="13" max="13" width="13.453125" bestFit="1" customWidth="1"/>
    <col min="14" max="14" width="14.1796875" bestFit="1" customWidth="1"/>
    <col min="15" max="15" width="18" bestFit="1" customWidth="1"/>
    <col min="16" max="16" width="18" customWidth="1"/>
    <col min="17" max="37" width="8.7265625" customWidth="1"/>
  </cols>
  <sheetData>
    <row r="1" spans="1:18" ht="14.25" customHeight="1" x14ac:dyDescent="0.3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0" t="s">
        <v>229</v>
      </c>
      <c r="G1" s="10" t="s">
        <v>230</v>
      </c>
      <c r="H1" s="10" t="s">
        <v>235</v>
      </c>
      <c r="I1" s="10" t="s">
        <v>231</v>
      </c>
      <c r="J1" s="10" t="s">
        <v>232</v>
      </c>
      <c r="K1" s="10" t="s">
        <v>233</v>
      </c>
      <c r="L1" s="10" t="s">
        <v>234</v>
      </c>
      <c r="M1" s="4" t="s">
        <v>5</v>
      </c>
      <c r="N1" s="4" t="s">
        <v>6</v>
      </c>
      <c r="O1" s="4" t="s">
        <v>213</v>
      </c>
      <c r="P1" s="4" t="s">
        <v>214</v>
      </c>
      <c r="Q1" s="4" t="s">
        <v>7</v>
      </c>
      <c r="R1" s="4" t="s">
        <v>8</v>
      </c>
    </row>
    <row r="2" spans="1:18" ht="14.25" customHeight="1" x14ac:dyDescent="0.35">
      <c r="A2" s="1" t="s">
        <v>9</v>
      </c>
      <c r="B2" s="4" t="s">
        <v>10</v>
      </c>
      <c r="C2" s="4">
        <v>3</v>
      </c>
      <c r="D2" s="4" t="s">
        <v>11</v>
      </c>
      <c r="E2" s="4">
        <v>1</v>
      </c>
      <c r="F2" s="5">
        <v>45811</v>
      </c>
      <c r="G2" s="5">
        <v>45819</v>
      </c>
      <c r="H2" s="5"/>
      <c r="I2" s="5"/>
      <c r="J2" s="5"/>
      <c r="K2" s="5"/>
      <c r="L2" s="5"/>
      <c r="M2" s="4" t="s">
        <v>12</v>
      </c>
      <c r="N2" s="6" t="s">
        <v>13</v>
      </c>
      <c r="O2" s="7">
        <v>45792</v>
      </c>
      <c r="P2" s="7">
        <v>45813</v>
      </c>
      <c r="Q2" s="4"/>
      <c r="R2" s="9" t="s">
        <v>227</v>
      </c>
    </row>
    <row r="3" spans="1:18" ht="14.25" customHeight="1" x14ac:dyDescent="0.35">
      <c r="A3" s="1" t="s">
        <v>14</v>
      </c>
      <c r="B3" s="4" t="s">
        <v>15</v>
      </c>
      <c r="C3" s="4">
        <v>9</v>
      </c>
      <c r="D3" s="4" t="s">
        <v>16</v>
      </c>
      <c r="E3" s="4">
        <v>1</v>
      </c>
      <c r="F3" s="5">
        <v>45811</v>
      </c>
      <c r="G3" s="5">
        <v>45821</v>
      </c>
      <c r="H3" s="5"/>
      <c r="I3" s="5"/>
      <c r="J3" s="5"/>
      <c r="K3" s="5"/>
      <c r="L3" s="5"/>
      <c r="M3" s="4" t="s">
        <v>12</v>
      </c>
      <c r="N3" s="6" t="s">
        <v>17</v>
      </c>
      <c r="O3" s="7">
        <v>45792</v>
      </c>
      <c r="P3" s="7">
        <v>45813</v>
      </c>
      <c r="Q3" s="4"/>
      <c r="R3" s="4"/>
    </row>
    <row r="4" spans="1:18" ht="14.25" customHeight="1" x14ac:dyDescent="0.35">
      <c r="A4" s="1" t="s">
        <v>18</v>
      </c>
      <c r="B4" s="4" t="s">
        <v>19</v>
      </c>
      <c r="C4" s="4">
        <v>16</v>
      </c>
      <c r="D4" s="4" t="s">
        <v>20</v>
      </c>
      <c r="E4" s="4">
        <v>1</v>
      </c>
      <c r="F4" s="5">
        <v>45811</v>
      </c>
      <c r="G4" s="5">
        <v>45821</v>
      </c>
      <c r="H4" s="5"/>
      <c r="I4" s="5"/>
      <c r="J4" s="5"/>
      <c r="K4" s="5"/>
      <c r="L4" s="5"/>
      <c r="M4" s="4" t="s">
        <v>12</v>
      </c>
      <c r="N4" s="4" t="s">
        <v>21</v>
      </c>
      <c r="O4" s="7">
        <v>45792</v>
      </c>
      <c r="P4" s="7">
        <v>45813</v>
      </c>
      <c r="Q4" s="4"/>
      <c r="R4" s="4"/>
    </row>
    <row r="5" spans="1:18" ht="14.25" customHeight="1" x14ac:dyDescent="0.35">
      <c r="A5" s="1" t="s">
        <v>22</v>
      </c>
      <c r="B5" s="9" t="s">
        <v>23</v>
      </c>
      <c r="C5" s="4">
        <v>21</v>
      </c>
      <c r="D5" s="4" t="s">
        <v>24</v>
      </c>
      <c r="E5" s="4">
        <v>1</v>
      </c>
      <c r="F5" s="5">
        <v>45811</v>
      </c>
      <c r="G5" s="5">
        <v>45821</v>
      </c>
      <c r="H5" s="5"/>
      <c r="I5" s="5"/>
      <c r="J5" s="5"/>
      <c r="K5" s="5"/>
      <c r="L5" s="5"/>
      <c r="M5" s="4" t="s">
        <v>12</v>
      </c>
      <c r="N5" s="6" t="s">
        <v>17</v>
      </c>
      <c r="O5" s="7">
        <v>45792</v>
      </c>
      <c r="P5" s="7">
        <v>45813</v>
      </c>
      <c r="Q5" s="4"/>
      <c r="R5" s="9" t="s">
        <v>228</v>
      </c>
    </row>
    <row r="6" spans="1:18" ht="14.25" customHeight="1" x14ac:dyDescent="0.35">
      <c r="A6" s="1" t="s">
        <v>25</v>
      </c>
      <c r="B6" s="4" t="s">
        <v>26</v>
      </c>
      <c r="C6" s="4">
        <v>22</v>
      </c>
      <c r="D6" s="4" t="s">
        <v>27</v>
      </c>
      <c r="E6" s="4">
        <v>1</v>
      </c>
      <c r="F6" s="5">
        <v>45811</v>
      </c>
      <c r="G6" s="5">
        <v>45821</v>
      </c>
      <c r="H6" s="5"/>
      <c r="I6" s="5"/>
      <c r="J6" s="5"/>
      <c r="K6" s="5"/>
      <c r="L6" s="5"/>
      <c r="M6" s="4" t="s">
        <v>12</v>
      </c>
      <c r="N6" s="6" t="s">
        <v>28</v>
      </c>
      <c r="O6" s="7">
        <v>45792</v>
      </c>
      <c r="P6" s="7">
        <v>45813</v>
      </c>
      <c r="Q6" s="4"/>
      <c r="R6" s="4"/>
    </row>
    <row r="7" spans="1:18" ht="14.25" customHeight="1" x14ac:dyDescent="0.35">
      <c r="A7" s="1" t="s">
        <v>29</v>
      </c>
      <c r="B7" s="4" t="s">
        <v>30</v>
      </c>
      <c r="C7" s="4">
        <v>26</v>
      </c>
      <c r="D7" s="4" t="s">
        <v>31</v>
      </c>
      <c r="E7" s="4">
        <v>1</v>
      </c>
      <c r="F7" s="5">
        <v>45811</v>
      </c>
      <c r="G7" s="5">
        <v>45821</v>
      </c>
      <c r="H7" s="5"/>
      <c r="I7" s="5"/>
      <c r="J7" s="5"/>
      <c r="K7" s="5"/>
      <c r="L7" s="5"/>
      <c r="M7" s="4" t="s">
        <v>12</v>
      </c>
      <c r="N7" s="6" t="s">
        <v>28</v>
      </c>
      <c r="O7" s="7">
        <v>45792</v>
      </c>
      <c r="P7" s="7">
        <v>45813</v>
      </c>
      <c r="Q7" s="4"/>
      <c r="R7" s="4"/>
    </row>
    <row r="8" spans="1:18" ht="14.25" customHeight="1" x14ac:dyDescent="0.35">
      <c r="A8" s="1" t="s">
        <v>32</v>
      </c>
      <c r="B8" s="4" t="s">
        <v>33</v>
      </c>
      <c r="C8" s="4">
        <v>28</v>
      </c>
      <c r="D8" s="4" t="s">
        <v>34</v>
      </c>
      <c r="E8" s="4">
        <v>1</v>
      </c>
      <c r="F8" s="5">
        <v>45811</v>
      </c>
      <c r="G8" s="4"/>
      <c r="H8" s="4"/>
      <c r="I8" s="4"/>
      <c r="J8" s="4"/>
      <c r="K8" s="4"/>
      <c r="L8" s="4"/>
      <c r="M8" s="4" t="s">
        <v>35</v>
      </c>
      <c r="N8" s="6" t="s">
        <v>36</v>
      </c>
      <c r="O8" s="7">
        <v>45792</v>
      </c>
      <c r="P8" s="7">
        <v>45813</v>
      </c>
      <c r="Q8" s="4"/>
      <c r="R8" s="4"/>
    </row>
    <row r="9" spans="1:18" ht="14.25" customHeight="1" x14ac:dyDescent="0.35">
      <c r="A9" s="1" t="s">
        <v>37</v>
      </c>
      <c r="B9" s="4" t="s">
        <v>38</v>
      </c>
      <c r="C9" s="4">
        <v>39</v>
      </c>
      <c r="D9" s="4" t="s">
        <v>39</v>
      </c>
      <c r="E9" s="4">
        <v>2</v>
      </c>
      <c r="F9" s="5">
        <v>45813</v>
      </c>
      <c r="G9" s="5">
        <v>45821</v>
      </c>
      <c r="H9" s="5"/>
      <c r="I9" s="5"/>
      <c r="J9" s="5"/>
      <c r="K9" s="5"/>
      <c r="L9" s="5"/>
      <c r="M9" s="4" t="s">
        <v>12</v>
      </c>
      <c r="N9" s="6" t="s">
        <v>36</v>
      </c>
      <c r="O9" s="7">
        <v>45794</v>
      </c>
      <c r="P9" s="7">
        <v>45815</v>
      </c>
      <c r="Q9" s="4"/>
      <c r="R9" s="4" t="s">
        <v>215</v>
      </c>
    </row>
    <row r="10" spans="1:18" ht="14.25" customHeight="1" x14ac:dyDescent="0.35">
      <c r="A10" s="1" t="s">
        <v>40</v>
      </c>
      <c r="B10" s="4" t="s">
        <v>41</v>
      </c>
      <c r="C10" s="4">
        <v>40</v>
      </c>
      <c r="D10" s="4" t="s">
        <v>42</v>
      </c>
      <c r="E10" s="4">
        <v>2</v>
      </c>
      <c r="F10" s="5">
        <v>45813</v>
      </c>
      <c r="G10" s="5">
        <v>45818</v>
      </c>
      <c r="H10" s="5"/>
      <c r="I10" s="5"/>
      <c r="J10" s="5"/>
      <c r="K10" s="5"/>
      <c r="L10" s="5"/>
      <c r="M10" s="4" t="s">
        <v>35</v>
      </c>
      <c r="N10" s="6" t="s">
        <v>28</v>
      </c>
      <c r="O10" s="7">
        <v>45794</v>
      </c>
      <c r="P10" s="7">
        <v>45815</v>
      </c>
      <c r="Q10" s="4"/>
      <c r="R10" s="4" t="s">
        <v>43</v>
      </c>
    </row>
    <row r="11" spans="1:18" ht="14.25" customHeight="1" x14ac:dyDescent="0.35">
      <c r="A11" s="1" t="s">
        <v>44</v>
      </c>
      <c r="B11" s="4" t="s">
        <v>45</v>
      </c>
      <c r="C11" s="4">
        <v>41</v>
      </c>
      <c r="D11" s="4" t="s">
        <v>46</v>
      </c>
      <c r="E11" s="4">
        <v>2</v>
      </c>
      <c r="F11" s="5">
        <v>45813</v>
      </c>
      <c r="G11" s="5">
        <v>45821</v>
      </c>
      <c r="H11" s="5"/>
      <c r="I11" s="5"/>
      <c r="J11" s="5"/>
      <c r="K11" s="5"/>
      <c r="L11" s="5"/>
      <c r="M11" s="4" t="s">
        <v>12</v>
      </c>
      <c r="N11" s="4" t="s">
        <v>21</v>
      </c>
      <c r="O11" s="7">
        <v>45794</v>
      </c>
      <c r="P11" s="7">
        <v>45815</v>
      </c>
      <c r="Q11" s="4"/>
      <c r="R11" s="4"/>
    </row>
    <row r="12" spans="1:18" ht="14.25" customHeight="1" x14ac:dyDescent="0.35">
      <c r="A12" s="1" t="s">
        <v>47</v>
      </c>
      <c r="B12" s="4" t="s">
        <v>48</v>
      </c>
      <c r="C12" s="4">
        <v>44</v>
      </c>
      <c r="D12" s="4" t="s">
        <v>49</v>
      </c>
      <c r="E12" s="4">
        <v>2</v>
      </c>
      <c r="F12" s="5">
        <v>45813</v>
      </c>
      <c r="G12" s="5">
        <v>45821</v>
      </c>
      <c r="H12" s="5"/>
      <c r="I12" s="5"/>
      <c r="J12" s="5"/>
      <c r="K12" s="5"/>
      <c r="L12" s="5"/>
      <c r="M12" s="4" t="s">
        <v>12</v>
      </c>
      <c r="N12" s="6" t="s">
        <v>36</v>
      </c>
      <c r="O12" s="7">
        <v>45794</v>
      </c>
      <c r="P12" s="7">
        <v>45815</v>
      </c>
      <c r="Q12" s="4"/>
      <c r="R12" s="4"/>
    </row>
    <row r="13" spans="1:18" ht="14.25" customHeight="1" x14ac:dyDescent="0.35">
      <c r="A13" s="1" t="s">
        <v>50</v>
      </c>
      <c r="B13" s="4" t="s">
        <v>51</v>
      </c>
      <c r="C13" s="4">
        <v>46</v>
      </c>
      <c r="D13" s="4" t="s">
        <v>52</v>
      </c>
      <c r="E13" s="4">
        <v>2</v>
      </c>
      <c r="F13" s="5">
        <v>45813</v>
      </c>
      <c r="G13" s="5">
        <v>45821</v>
      </c>
      <c r="H13" s="5"/>
      <c r="I13" s="5"/>
      <c r="J13" s="5"/>
      <c r="K13" s="5"/>
      <c r="L13" s="5"/>
      <c r="M13" s="4" t="s">
        <v>12</v>
      </c>
      <c r="N13" s="6" t="s">
        <v>13</v>
      </c>
      <c r="O13" s="7">
        <v>45794</v>
      </c>
      <c r="P13" s="7">
        <v>45815</v>
      </c>
      <c r="Q13" s="4"/>
      <c r="R13" s="4" t="s">
        <v>53</v>
      </c>
    </row>
    <row r="14" spans="1:18" ht="14.25" customHeight="1" x14ac:dyDescent="0.35">
      <c r="A14" s="1" t="s">
        <v>54</v>
      </c>
      <c r="B14" s="4" t="s">
        <v>55</v>
      </c>
      <c r="C14" s="4">
        <v>47</v>
      </c>
      <c r="D14" s="4" t="s">
        <v>56</v>
      </c>
      <c r="E14" s="4">
        <v>2</v>
      </c>
      <c r="F14" s="5">
        <v>45813</v>
      </c>
      <c r="G14" s="5">
        <v>45821</v>
      </c>
      <c r="H14" s="5"/>
      <c r="I14" s="5"/>
      <c r="J14" s="5"/>
      <c r="K14" s="5"/>
      <c r="L14" s="5"/>
      <c r="M14" s="4" t="s">
        <v>12</v>
      </c>
      <c r="N14" s="4" t="s">
        <v>21</v>
      </c>
      <c r="O14" s="7">
        <v>45794</v>
      </c>
      <c r="P14" s="7">
        <v>45815</v>
      </c>
      <c r="Q14" s="4" t="s">
        <v>75</v>
      </c>
      <c r="R14" s="4" t="s">
        <v>57</v>
      </c>
    </row>
    <row r="15" spans="1:18" ht="14.25" customHeight="1" x14ac:dyDescent="0.35">
      <c r="A15" s="1" t="s">
        <v>58</v>
      </c>
      <c r="B15" s="4" t="s">
        <v>59</v>
      </c>
      <c r="C15" s="4">
        <v>48</v>
      </c>
      <c r="D15" s="4" t="s">
        <v>60</v>
      </c>
      <c r="E15" s="4">
        <v>2</v>
      </c>
      <c r="F15" s="5">
        <v>45814</v>
      </c>
      <c r="G15" s="5">
        <v>45821</v>
      </c>
      <c r="H15" s="5"/>
      <c r="I15" s="5"/>
      <c r="J15" s="5"/>
      <c r="K15" s="5"/>
      <c r="L15" s="5"/>
      <c r="M15" s="4" t="s">
        <v>12</v>
      </c>
      <c r="N15" s="6" t="s">
        <v>28</v>
      </c>
      <c r="O15" s="7">
        <v>45794</v>
      </c>
      <c r="P15" s="7">
        <v>45815</v>
      </c>
      <c r="Q15" s="4"/>
      <c r="R15" s="4" t="s">
        <v>216</v>
      </c>
    </row>
    <row r="16" spans="1:18" ht="14.25" customHeight="1" x14ac:dyDescent="0.35">
      <c r="A16" s="1" t="s">
        <v>61</v>
      </c>
      <c r="B16" s="4" t="s">
        <v>62</v>
      </c>
      <c r="C16" s="4">
        <v>49</v>
      </c>
      <c r="D16" s="4" t="s">
        <v>63</v>
      </c>
      <c r="E16" s="4">
        <v>1</v>
      </c>
      <c r="F16" s="5">
        <v>45811</v>
      </c>
      <c r="G16" s="5">
        <v>45821</v>
      </c>
      <c r="H16" s="5"/>
      <c r="I16" s="5"/>
      <c r="J16" s="5"/>
      <c r="K16" s="5"/>
      <c r="L16" s="5"/>
      <c r="M16" s="4" t="s">
        <v>12</v>
      </c>
      <c r="N16" s="4" t="s">
        <v>21</v>
      </c>
      <c r="O16" s="7">
        <v>45792</v>
      </c>
      <c r="P16" s="7">
        <v>45813</v>
      </c>
      <c r="Q16" s="4"/>
      <c r="R16" s="4"/>
    </row>
    <row r="17" spans="1:18" ht="14.25" customHeight="1" x14ac:dyDescent="0.35">
      <c r="A17" s="1" t="s">
        <v>64</v>
      </c>
      <c r="B17" s="4" t="s">
        <v>65</v>
      </c>
      <c r="C17" s="4">
        <v>50</v>
      </c>
      <c r="D17" s="4" t="s">
        <v>66</v>
      </c>
      <c r="E17" s="4">
        <v>2</v>
      </c>
      <c r="F17" s="5">
        <v>45813</v>
      </c>
      <c r="G17" s="5">
        <v>45821</v>
      </c>
      <c r="H17" s="5"/>
      <c r="I17" s="5"/>
      <c r="J17" s="5"/>
      <c r="K17" s="5"/>
      <c r="L17" s="5"/>
      <c r="M17" s="4" t="s">
        <v>12</v>
      </c>
      <c r="N17" s="6" t="s">
        <v>13</v>
      </c>
      <c r="O17" s="7">
        <v>45794</v>
      </c>
      <c r="P17" s="7">
        <v>45815</v>
      </c>
      <c r="Q17" s="4"/>
      <c r="R17" s="4" t="s">
        <v>224</v>
      </c>
    </row>
    <row r="18" spans="1:18" ht="14.25" customHeight="1" x14ac:dyDescent="0.35">
      <c r="A18" s="1" t="s">
        <v>67</v>
      </c>
      <c r="B18" s="4" t="s">
        <v>68</v>
      </c>
      <c r="C18" s="4">
        <v>52</v>
      </c>
      <c r="D18" s="4" t="s">
        <v>69</v>
      </c>
      <c r="E18" s="4">
        <v>2</v>
      </c>
      <c r="F18" s="5">
        <v>45813</v>
      </c>
      <c r="G18" s="5">
        <v>45821</v>
      </c>
      <c r="H18" s="5"/>
      <c r="I18" s="5"/>
      <c r="J18" s="5"/>
      <c r="K18" s="5"/>
      <c r="L18" s="5"/>
      <c r="M18" s="4" t="s">
        <v>35</v>
      </c>
      <c r="N18" s="6" t="s">
        <v>13</v>
      </c>
      <c r="O18" s="7">
        <v>45794</v>
      </c>
      <c r="P18" s="7">
        <v>45815</v>
      </c>
      <c r="Q18" s="4"/>
      <c r="R18" s="4"/>
    </row>
    <row r="19" spans="1:18" ht="14.25" customHeight="1" x14ac:dyDescent="0.35">
      <c r="A19" s="1" t="s">
        <v>70</v>
      </c>
      <c r="B19" s="4" t="s">
        <v>71</v>
      </c>
      <c r="C19" s="4">
        <v>53</v>
      </c>
      <c r="D19" s="4" t="s">
        <v>72</v>
      </c>
      <c r="E19" s="4">
        <v>2</v>
      </c>
      <c r="F19" s="5">
        <v>45813</v>
      </c>
      <c r="G19" s="5">
        <v>45813</v>
      </c>
      <c r="H19" s="5"/>
      <c r="I19" s="5"/>
      <c r="J19" s="5"/>
      <c r="K19" s="5"/>
      <c r="L19" s="5"/>
      <c r="M19" s="4" t="s">
        <v>35</v>
      </c>
      <c r="N19" s="6" t="s">
        <v>13</v>
      </c>
      <c r="O19" s="7">
        <v>45794</v>
      </c>
      <c r="P19" s="6" t="s">
        <v>178</v>
      </c>
      <c r="Q19" s="4"/>
      <c r="R19" s="4" t="s">
        <v>212</v>
      </c>
    </row>
    <row r="20" spans="1:18" ht="14.25" customHeight="1" x14ac:dyDescent="0.35">
      <c r="A20" s="1">
        <v>200000081173241</v>
      </c>
      <c r="B20" s="4" t="s">
        <v>73</v>
      </c>
      <c r="C20" s="4">
        <v>54</v>
      </c>
      <c r="D20" s="4" t="s">
        <v>74</v>
      </c>
      <c r="E20" s="4">
        <v>2</v>
      </c>
      <c r="F20" s="5">
        <v>45813</v>
      </c>
      <c r="G20" s="5">
        <v>45821</v>
      </c>
      <c r="H20" s="5"/>
      <c r="I20" s="5"/>
      <c r="J20" s="5"/>
      <c r="K20" s="5"/>
      <c r="L20" s="5"/>
      <c r="M20" s="4" t="s">
        <v>12</v>
      </c>
      <c r="N20" s="6" t="s">
        <v>17</v>
      </c>
      <c r="O20" s="7">
        <v>45794</v>
      </c>
      <c r="P20" s="7">
        <v>45815</v>
      </c>
      <c r="Q20" s="4" t="s">
        <v>75</v>
      </c>
      <c r="R20" s="4" t="s">
        <v>57</v>
      </c>
    </row>
    <row r="21" spans="1:18" ht="14.25" customHeight="1" x14ac:dyDescent="0.35">
      <c r="A21" s="1" t="s">
        <v>76</v>
      </c>
      <c r="B21" s="4" t="s">
        <v>77</v>
      </c>
      <c r="C21" s="4">
        <v>55</v>
      </c>
      <c r="D21" s="4" t="s">
        <v>78</v>
      </c>
      <c r="E21" s="4">
        <v>2</v>
      </c>
      <c r="F21" s="5">
        <v>45814</v>
      </c>
      <c r="G21" s="5">
        <v>45821</v>
      </c>
      <c r="H21" s="5"/>
      <c r="I21" s="5"/>
      <c r="J21" s="5"/>
      <c r="K21" s="5"/>
      <c r="L21" s="5"/>
      <c r="M21" s="4" t="s">
        <v>12</v>
      </c>
      <c r="N21" s="6" t="s">
        <v>36</v>
      </c>
      <c r="O21" s="7">
        <v>45794</v>
      </c>
      <c r="P21" s="7">
        <v>45815</v>
      </c>
      <c r="Q21" s="4"/>
      <c r="R21" s="4" t="s">
        <v>79</v>
      </c>
    </row>
    <row r="22" spans="1:18" ht="14.25" customHeight="1" x14ac:dyDescent="0.35">
      <c r="A22" s="1" t="s">
        <v>80</v>
      </c>
      <c r="B22" s="4" t="s">
        <v>81</v>
      </c>
      <c r="C22" s="4">
        <v>56</v>
      </c>
      <c r="D22" s="4" t="s">
        <v>82</v>
      </c>
      <c r="E22" s="4">
        <v>2</v>
      </c>
      <c r="F22" s="5">
        <v>45813</v>
      </c>
      <c r="G22" s="5">
        <v>45821</v>
      </c>
      <c r="H22" s="5"/>
      <c r="I22" s="5"/>
      <c r="J22" s="5"/>
      <c r="K22" s="5"/>
      <c r="L22" s="5"/>
      <c r="M22" s="4" t="s">
        <v>83</v>
      </c>
      <c r="N22" s="4" t="s">
        <v>21</v>
      </c>
      <c r="O22" s="7">
        <v>45794</v>
      </c>
      <c r="P22" s="7">
        <v>45815</v>
      </c>
      <c r="Q22" s="4"/>
      <c r="R22" s="4"/>
    </row>
    <row r="23" spans="1:18" ht="14.25" customHeight="1" x14ac:dyDescent="0.35">
      <c r="A23" s="1" t="s">
        <v>84</v>
      </c>
      <c r="B23" s="4" t="s">
        <v>85</v>
      </c>
      <c r="C23" s="4">
        <v>60</v>
      </c>
      <c r="D23" s="4" t="s">
        <v>86</v>
      </c>
      <c r="E23" s="4">
        <v>2</v>
      </c>
      <c r="F23" s="5">
        <v>45813</v>
      </c>
      <c r="G23" s="5">
        <v>45821</v>
      </c>
      <c r="H23" s="5"/>
      <c r="I23" s="5"/>
      <c r="J23" s="5"/>
      <c r="K23" s="5"/>
      <c r="L23" s="5"/>
      <c r="M23" s="4" t="s">
        <v>12</v>
      </c>
      <c r="N23" s="6" t="s">
        <v>17</v>
      </c>
      <c r="O23" s="7">
        <v>45794</v>
      </c>
      <c r="P23" s="7">
        <v>45815</v>
      </c>
      <c r="Q23" s="4"/>
      <c r="R23" s="4" t="s">
        <v>224</v>
      </c>
    </row>
    <row r="24" spans="1:18" ht="14.25" customHeight="1" x14ac:dyDescent="0.35">
      <c r="A24" s="1" t="s">
        <v>87</v>
      </c>
      <c r="B24" s="4" t="s">
        <v>88</v>
      </c>
      <c r="C24" s="4">
        <v>62</v>
      </c>
      <c r="D24" s="4" t="s">
        <v>89</v>
      </c>
      <c r="E24" s="4">
        <v>2</v>
      </c>
      <c r="F24" s="5">
        <v>45814</v>
      </c>
      <c r="G24" s="5">
        <v>45821</v>
      </c>
      <c r="H24" s="5"/>
      <c r="I24" s="5"/>
      <c r="J24" s="5"/>
      <c r="K24" s="5"/>
      <c r="L24" s="5"/>
      <c r="M24" s="4" t="s">
        <v>12</v>
      </c>
      <c r="N24" s="6" t="s">
        <v>28</v>
      </c>
      <c r="O24" s="7">
        <v>45794</v>
      </c>
      <c r="P24" s="7">
        <v>45815</v>
      </c>
      <c r="Q24" s="4"/>
      <c r="R24" s="4" t="s">
        <v>79</v>
      </c>
    </row>
    <row r="25" spans="1:18" ht="14.25" customHeight="1" x14ac:dyDescent="0.35">
      <c r="A25" s="1" t="s">
        <v>90</v>
      </c>
      <c r="B25" s="4" t="s">
        <v>91</v>
      </c>
      <c r="C25" s="4">
        <v>64</v>
      </c>
      <c r="D25" s="4" t="s">
        <v>92</v>
      </c>
      <c r="E25" s="4">
        <v>3</v>
      </c>
      <c r="F25" s="8">
        <v>45797</v>
      </c>
      <c r="G25" s="5">
        <v>45820</v>
      </c>
      <c r="H25" s="4" t="s">
        <v>95</v>
      </c>
      <c r="I25" s="5">
        <v>45822</v>
      </c>
      <c r="J25" s="5">
        <v>45826</v>
      </c>
      <c r="K25" s="5"/>
      <c r="L25" s="5"/>
      <c r="M25" s="4" t="s">
        <v>12</v>
      </c>
      <c r="N25" s="4" t="s">
        <v>93</v>
      </c>
      <c r="O25" s="5">
        <v>45803</v>
      </c>
      <c r="P25" s="5">
        <v>45824</v>
      </c>
      <c r="Q25" s="4"/>
      <c r="R25" s="10" t="s">
        <v>236</v>
      </c>
    </row>
    <row r="26" spans="1:18" ht="14.25" customHeight="1" x14ac:dyDescent="0.35">
      <c r="A26" s="1" t="s">
        <v>94</v>
      </c>
      <c r="B26" s="4" t="s">
        <v>95</v>
      </c>
      <c r="C26" s="4">
        <v>64.2</v>
      </c>
      <c r="D26" s="4" t="s">
        <v>92</v>
      </c>
      <c r="E26" s="4">
        <v>3</v>
      </c>
      <c r="F26" s="5">
        <v>45822</v>
      </c>
      <c r="G26" s="5">
        <v>45826</v>
      </c>
      <c r="H26" s="5"/>
      <c r="I26" s="5"/>
      <c r="J26" s="5"/>
      <c r="K26" s="5"/>
      <c r="L26" s="5"/>
      <c r="M26" s="4" t="s">
        <v>12</v>
      </c>
      <c r="N26" s="4" t="s">
        <v>93</v>
      </c>
      <c r="O26" s="5">
        <v>45803</v>
      </c>
      <c r="P26" s="5">
        <v>45824</v>
      </c>
      <c r="Q26" s="4" t="s">
        <v>75</v>
      </c>
      <c r="R26" s="4" t="s">
        <v>96</v>
      </c>
    </row>
    <row r="27" spans="1:18" ht="14.25" customHeight="1" x14ac:dyDescent="0.35">
      <c r="A27" s="1" t="s">
        <v>97</v>
      </c>
      <c r="B27" s="4" t="s">
        <v>98</v>
      </c>
      <c r="C27" s="4">
        <v>66</v>
      </c>
      <c r="D27" s="4" t="s">
        <v>99</v>
      </c>
      <c r="E27" s="4">
        <v>3</v>
      </c>
      <c r="F27" s="8">
        <v>45797</v>
      </c>
      <c r="G27" s="8">
        <v>45802</v>
      </c>
      <c r="H27" s="8"/>
      <c r="I27" s="8"/>
      <c r="J27" s="8"/>
      <c r="K27" s="8"/>
      <c r="L27" s="8"/>
      <c r="M27" s="4" t="s">
        <v>83</v>
      </c>
      <c r="N27" s="4" t="s">
        <v>100</v>
      </c>
      <c r="O27" s="5">
        <v>45803</v>
      </c>
      <c r="P27" s="4" t="s">
        <v>178</v>
      </c>
      <c r="Q27" s="4"/>
      <c r="R27" s="4" t="s">
        <v>219</v>
      </c>
    </row>
    <row r="28" spans="1:18" ht="14.25" customHeight="1" x14ac:dyDescent="0.35">
      <c r="A28" s="1" t="s">
        <v>101</v>
      </c>
      <c r="B28" s="4" t="s">
        <v>102</v>
      </c>
      <c r="C28" s="4">
        <v>67</v>
      </c>
      <c r="D28" s="4" t="s">
        <v>103</v>
      </c>
      <c r="E28" s="4">
        <v>3</v>
      </c>
      <c r="F28" s="8">
        <v>45797</v>
      </c>
      <c r="G28" s="5">
        <v>45812</v>
      </c>
      <c r="H28" s="5"/>
      <c r="I28" s="5"/>
      <c r="J28" s="5"/>
      <c r="K28" s="5"/>
      <c r="L28" s="5"/>
      <c r="M28" s="4" t="s">
        <v>83</v>
      </c>
      <c r="N28" s="4" t="s">
        <v>93</v>
      </c>
      <c r="O28" s="5">
        <v>45803</v>
      </c>
      <c r="P28" s="4" t="s">
        <v>178</v>
      </c>
      <c r="Q28" s="4" t="s">
        <v>75</v>
      </c>
      <c r="R28" s="4" t="s">
        <v>223</v>
      </c>
    </row>
    <row r="29" spans="1:18" ht="14.25" customHeight="1" x14ac:dyDescent="0.35">
      <c r="A29" s="1" t="s">
        <v>104</v>
      </c>
      <c r="B29" s="4" t="s">
        <v>105</v>
      </c>
      <c r="C29" s="4">
        <v>68</v>
      </c>
      <c r="D29" s="4" t="s">
        <v>106</v>
      </c>
      <c r="E29" s="4">
        <v>3</v>
      </c>
      <c r="F29" s="8">
        <v>45797</v>
      </c>
      <c r="G29" s="5">
        <v>45811</v>
      </c>
      <c r="H29" s="5"/>
      <c r="I29" s="5"/>
      <c r="J29" s="5"/>
      <c r="K29" s="5"/>
      <c r="L29" s="5"/>
      <c r="M29" s="4" t="s">
        <v>12</v>
      </c>
      <c r="N29" s="4" t="s">
        <v>93</v>
      </c>
      <c r="O29" s="5">
        <v>45803</v>
      </c>
      <c r="P29" s="5">
        <v>45824</v>
      </c>
      <c r="Q29" s="4"/>
      <c r="R29" s="4"/>
    </row>
    <row r="30" spans="1:18" ht="14.25" customHeight="1" x14ac:dyDescent="0.35">
      <c r="A30" s="1" t="s">
        <v>107</v>
      </c>
      <c r="B30" s="4" t="s">
        <v>108</v>
      </c>
      <c r="C30" s="4">
        <v>68.2</v>
      </c>
      <c r="D30" s="4" t="s">
        <v>106</v>
      </c>
      <c r="E30" s="4">
        <v>3</v>
      </c>
      <c r="F30" s="5">
        <v>45822</v>
      </c>
      <c r="G30" s="5">
        <v>45826</v>
      </c>
      <c r="H30" s="5"/>
      <c r="I30" s="5"/>
      <c r="J30" s="5"/>
      <c r="K30" s="5"/>
      <c r="L30" s="5"/>
      <c r="M30" s="4" t="s">
        <v>12</v>
      </c>
      <c r="N30" s="4" t="s">
        <v>93</v>
      </c>
      <c r="O30" s="5">
        <v>45803</v>
      </c>
      <c r="P30" s="5">
        <v>45824</v>
      </c>
      <c r="Q30" s="4" t="s">
        <v>75</v>
      </c>
      <c r="R30" s="4" t="s">
        <v>109</v>
      </c>
    </row>
    <row r="31" spans="1:18" ht="14.25" customHeight="1" x14ac:dyDescent="0.35">
      <c r="A31" s="1" t="s">
        <v>110</v>
      </c>
      <c r="B31" s="4" t="s">
        <v>111</v>
      </c>
      <c r="C31" s="4">
        <v>69</v>
      </c>
      <c r="D31" s="4" t="s">
        <v>112</v>
      </c>
      <c r="E31" s="4">
        <v>3</v>
      </c>
      <c r="F31" s="8">
        <v>45797</v>
      </c>
      <c r="G31" s="5">
        <v>45804</v>
      </c>
      <c r="H31" s="5"/>
      <c r="I31" s="5"/>
      <c r="J31" s="5"/>
      <c r="K31" s="5"/>
      <c r="L31" s="5"/>
      <c r="M31" s="4" t="s">
        <v>83</v>
      </c>
      <c r="N31" s="4" t="s">
        <v>100</v>
      </c>
      <c r="O31" s="5">
        <v>45803</v>
      </c>
      <c r="P31" s="4" t="s">
        <v>178</v>
      </c>
      <c r="Q31" s="4"/>
      <c r="R31" s="4" t="s">
        <v>226</v>
      </c>
    </row>
    <row r="32" spans="1:18" ht="14.25" customHeight="1" x14ac:dyDescent="0.35">
      <c r="A32" s="1" t="s">
        <v>113</v>
      </c>
      <c r="B32" s="4" t="s">
        <v>114</v>
      </c>
      <c r="C32" s="4">
        <v>71</v>
      </c>
      <c r="D32" s="4" t="s">
        <v>115</v>
      </c>
      <c r="E32" s="4">
        <v>3</v>
      </c>
      <c r="F32" s="8">
        <v>45797</v>
      </c>
      <c r="G32" s="8">
        <v>45805</v>
      </c>
      <c r="H32" s="8"/>
      <c r="I32" s="8"/>
      <c r="J32" s="8"/>
      <c r="K32" s="8"/>
      <c r="L32" s="8"/>
      <c r="M32" s="4" t="s">
        <v>116</v>
      </c>
      <c r="N32" s="4" t="s">
        <v>100</v>
      </c>
      <c r="O32" s="5">
        <v>45803</v>
      </c>
      <c r="P32" s="5">
        <v>45824</v>
      </c>
      <c r="Q32" s="4"/>
      <c r="R32" s="4"/>
    </row>
    <row r="33" spans="1:18" ht="14.25" customHeight="1" x14ac:dyDescent="0.35">
      <c r="A33" s="1" t="s">
        <v>117</v>
      </c>
      <c r="B33" s="4" t="s">
        <v>118</v>
      </c>
      <c r="C33" s="4">
        <v>71.2</v>
      </c>
      <c r="D33" s="4" t="s">
        <v>115</v>
      </c>
      <c r="E33" s="4">
        <v>3</v>
      </c>
      <c r="F33" s="5">
        <v>45822</v>
      </c>
      <c r="G33" s="5">
        <v>45826</v>
      </c>
      <c r="H33" s="5"/>
      <c r="I33" s="5"/>
      <c r="J33" s="5"/>
      <c r="K33" s="5"/>
      <c r="L33" s="5"/>
      <c r="M33" s="4" t="s">
        <v>12</v>
      </c>
      <c r="N33" s="4" t="s">
        <v>100</v>
      </c>
      <c r="O33" s="5">
        <v>45803</v>
      </c>
      <c r="P33" s="5">
        <v>45824</v>
      </c>
      <c r="Q33" s="4"/>
      <c r="R33" s="4" t="s">
        <v>119</v>
      </c>
    </row>
    <row r="34" spans="1:18" ht="14.25" customHeight="1" x14ac:dyDescent="0.35">
      <c r="A34" s="1" t="s">
        <v>120</v>
      </c>
      <c r="B34" s="4" t="s">
        <v>121</v>
      </c>
      <c r="C34" s="4">
        <v>73</v>
      </c>
      <c r="D34" s="4" t="s">
        <v>122</v>
      </c>
      <c r="E34" s="4">
        <v>3</v>
      </c>
      <c r="F34" s="8">
        <v>45797</v>
      </c>
      <c r="G34" s="5">
        <v>45797</v>
      </c>
      <c r="H34" s="5"/>
      <c r="I34" s="5"/>
      <c r="J34" s="5"/>
      <c r="K34" s="5"/>
      <c r="L34" s="5"/>
      <c r="M34" s="4" t="s">
        <v>83</v>
      </c>
      <c r="N34" s="4" t="s">
        <v>93</v>
      </c>
      <c r="O34" s="5">
        <v>45803</v>
      </c>
      <c r="P34" s="5">
        <v>45824</v>
      </c>
      <c r="Q34" s="4"/>
      <c r="R34" s="4" t="s">
        <v>123</v>
      </c>
    </row>
    <row r="35" spans="1:18" ht="14.25" customHeight="1" x14ac:dyDescent="0.35">
      <c r="A35" s="1" t="s">
        <v>124</v>
      </c>
      <c r="B35" s="4" t="s">
        <v>125</v>
      </c>
      <c r="C35" s="4">
        <v>73.2</v>
      </c>
      <c r="D35" s="4" t="s">
        <v>122</v>
      </c>
      <c r="E35" s="4">
        <v>3</v>
      </c>
      <c r="F35" s="8">
        <v>45798</v>
      </c>
      <c r="G35" s="5">
        <v>45810</v>
      </c>
      <c r="H35" s="5"/>
      <c r="I35" s="5"/>
      <c r="J35" s="5"/>
      <c r="K35" s="5"/>
      <c r="L35" s="5"/>
      <c r="M35" s="4" t="s">
        <v>83</v>
      </c>
      <c r="N35" s="4" t="s">
        <v>93</v>
      </c>
      <c r="O35" s="5">
        <v>45803</v>
      </c>
      <c r="P35" s="5">
        <v>45824</v>
      </c>
      <c r="Q35" s="4"/>
      <c r="R35" s="4" t="s">
        <v>218</v>
      </c>
    </row>
    <row r="36" spans="1:18" ht="14.25" customHeight="1" x14ac:dyDescent="0.35">
      <c r="A36" s="1" t="s">
        <v>126</v>
      </c>
      <c r="B36" s="4" t="s">
        <v>127</v>
      </c>
      <c r="C36" s="4">
        <v>73.3</v>
      </c>
      <c r="D36" s="4" t="s">
        <v>122</v>
      </c>
      <c r="E36" s="4">
        <v>3</v>
      </c>
      <c r="F36" s="5">
        <v>45822</v>
      </c>
      <c r="G36" s="5">
        <v>45822</v>
      </c>
      <c r="H36" s="5"/>
      <c r="I36" s="5"/>
      <c r="J36" s="5"/>
      <c r="K36" s="5"/>
      <c r="L36" s="5"/>
      <c r="M36" s="4" t="s">
        <v>12</v>
      </c>
      <c r="N36" s="4" t="s">
        <v>93</v>
      </c>
      <c r="O36" s="5">
        <v>45803</v>
      </c>
      <c r="P36" s="5">
        <v>45824</v>
      </c>
      <c r="Q36" s="4"/>
      <c r="R36" s="4" t="s">
        <v>128</v>
      </c>
    </row>
    <row r="37" spans="1:18" ht="14.25" customHeight="1" x14ac:dyDescent="0.35">
      <c r="A37" s="1" t="s">
        <v>129</v>
      </c>
      <c r="B37" s="4" t="s">
        <v>130</v>
      </c>
      <c r="C37" s="4">
        <v>73.400000000000006</v>
      </c>
      <c r="D37" s="4" t="s">
        <v>122</v>
      </c>
      <c r="E37" s="4">
        <v>3</v>
      </c>
      <c r="F37" s="5">
        <v>45823</v>
      </c>
      <c r="G37" s="5">
        <v>45826</v>
      </c>
      <c r="H37" s="5"/>
      <c r="I37" s="5"/>
      <c r="J37" s="5"/>
      <c r="K37" s="5"/>
      <c r="L37" s="5"/>
      <c r="M37" s="4" t="s">
        <v>12</v>
      </c>
      <c r="N37" s="4" t="s">
        <v>93</v>
      </c>
      <c r="O37" s="5">
        <v>45803</v>
      </c>
      <c r="P37" s="5">
        <v>45824</v>
      </c>
      <c r="Q37" s="4" t="s">
        <v>75</v>
      </c>
      <c r="R37" s="4" t="s">
        <v>109</v>
      </c>
    </row>
    <row r="38" spans="1:18" ht="14.25" customHeight="1" x14ac:dyDescent="0.35">
      <c r="A38" s="1" t="s">
        <v>131</v>
      </c>
      <c r="B38" s="4" t="s">
        <v>132</v>
      </c>
      <c r="C38" s="4">
        <v>74</v>
      </c>
      <c r="D38" s="4" t="s">
        <v>133</v>
      </c>
      <c r="E38" s="4">
        <v>3</v>
      </c>
      <c r="F38" s="8">
        <v>45797</v>
      </c>
      <c r="G38" s="5">
        <v>45810</v>
      </c>
      <c r="H38" s="5"/>
      <c r="I38" s="5"/>
      <c r="J38" s="5"/>
      <c r="K38" s="5"/>
      <c r="L38" s="5"/>
      <c r="M38" s="4" t="s">
        <v>12</v>
      </c>
      <c r="N38" s="4" t="s">
        <v>93</v>
      </c>
      <c r="O38" s="5">
        <v>45803</v>
      </c>
      <c r="P38" s="5">
        <v>45824</v>
      </c>
      <c r="Q38" s="4"/>
      <c r="R38" s="4"/>
    </row>
    <row r="39" spans="1:18" ht="14.25" customHeight="1" x14ac:dyDescent="0.35">
      <c r="A39" s="1" t="s">
        <v>134</v>
      </c>
      <c r="B39" s="4" t="s">
        <v>135</v>
      </c>
      <c r="C39" s="4">
        <v>74.2</v>
      </c>
      <c r="D39" s="4" t="s">
        <v>133</v>
      </c>
      <c r="E39" s="4">
        <v>3</v>
      </c>
      <c r="F39" s="5">
        <v>45822</v>
      </c>
      <c r="G39" s="5">
        <v>45826</v>
      </c>
      <c r="H39" s="5"/>
      <c r="I39" s="5"/>
      <c r="J39" s="5"/>
      <c r="K39" s="5"/>
      <c r="L39" s="5"/>
      <c r="M39" s="4" t="s">
        <v>12</v>
      </c>
      <c r="N39" s="4" t="s">
        <v>93</v>
      </c>
      <c r="O39" s="5">
        <v>45803</v>
      </c>
      <c r="P39" s="5">
        <v>45824</v>
      </c>
      <c r="Q39" s="4"/>
      <c r="R39" s="4" t="s">
        <v>136</v>
      </c>
    </row>
    <row r="40" spans="1:18" ht="14.25" customHeight="1" x14ac:dyDescent="0.35">
      <c r="A40" s="1" t="s">
        <v>137</v>
      </c>
      <c r="B40" s="4" t="s">
        <v>138</v>
      </c>
      <c r="C40" s="4">
        <v>75</v>
      </c>
      <c r="D40" s="4" t="s">
        <v>139</v>
      </c>
      <c r="E40" s="4">
        <v>3</v>
      </c>
      <c r="F40" s="8">
        <v>45797</v>
      </c>
      <c r="G40" s="5">
        <v>12927</v>
      </c>
      <c r="H40" s="5"/>
      <c r="I40" s="5"/>
      <c r="J40" s="5"/>
      <c r="K40" s="5"/>
      <c r="L40" s="5"/>
      <c r="M40" s="4" t="s">
        <v>83</v>
      </c>
      <c r="N40" s="4" t="s">
        <v>100</v>
      </c>
      <c r="O40" s="5">
        <v>45803</v>
      </c>
      <c r="P40" s="4" t="s">
        <v>178</v>
      </c>
      <c r="Q40" s="4"/>
      <c r="R40" s="4" t="s">
        <v>225</v>
      </c>
    </row>
    <row r="41" spans="1:18" ht="14.25" customHeight="1" x14ac:dyDescent="0.35">
      <c r="A41" s="1" t="s">
        <v>140</v>
      </c>
      <c r="B41" s="4" t="s">
        <v>141</v>
      </c>
      <c r="C41" s="4">
        <v>76</v>
      </c>
      <c r="D41" s="4" t="s">
        <v>142</v>
      </c>
      <c r="E41" s="4">
        <v>3</v>
      </c>
      <c r="F41" s="8">
        <v>45797</v>
      </c>
      <c r="G41" s="5">
        <v>45811</v>
      </c>
      <c r="H41" s="5"/>
      <c r="I41" s="5"/>
      <c r="J41" s="5"/>
      <c r="K41" s="5"/>
      <c r="L41" s="5"/>
      <c r="M41" s="4" t="s">
        <v>83</v>
      </c>
      <c r="N41" s="4" t="s">
        <v>93</v>
      </c>
      <c r="O41" s="5">
        <v>45803</v>
      </c>
      <c r="P41" s="5">
        <v>45824</v>
      </c>
      <c r="Q41" s="4"/>
      <c r="R41" s="4"/>
    </row>
    <row r="42" spans="1:18" ht="14.25" customHeight="1" x14ac:dyDescent="0.35">
      <c r="A42" s="1" t="s">
        <v>143</v>
      </c>
      <c r="B42" s="4" t="s">
        <v>144</v>
      </c>
      <c r="C42" s="4">
        <v>76.2</v>
      </c>
      <c r="D42" s="4" t="s">
        <v>142</v>
      </c>
      <c r="E42" s="4">
        <v>3</v>
      </c>
      <c r="F42" s="5">
        <v>45822</v>
      </c>
      <c r="G42" s="5">
        <v>45826</v>
      </c>
      <c r="H42" s="5"/>
      <c r="I42" s="5"/>
      <c r="J42" s="5"/>
      <c r="K42" s="5"/>
      <c r="L42" s="5"/>
      <c r="M42" s="4" t="s">
        <v>12</v>
      </c>
      <c r="N42" s="4" t="s">
        <v>93</v>
      </c>
      <c r="O42" s="5">
        <v>45803</v>
      </c>
      <c r="P42" s="5">
        <v>45824</v>
      </c>
      <c r="Q42" s="4"/>
      <c r="R42" s="4" t="s">
        <v>145</v>
      </c>
    </row>
    <row r="43" spans="1:18" ht="14.25" customHeight="1" x14ac:dyDescent="0.35">
      <c r="A43" s="1" t="s">
        <v>146</v>
      </c>
      <c r="B43" s="4" t="s">
        <v>147</v>
      </c>
      <c r="C43" s="4">
        <v>78</v>
      </c>
      <c r="D43" s="4" t="s">
        <v>148</v>
      </c>
      <c r="E43" s="4">
        <v>3</v>
      </c>
      <c r="F43" s="8">
        <v>45797</v>
      </c>
      <c r="G43" s="8">
        <v>45802</v>
      </c>
      <c r="H43" s="8"/>
      <c r="I43" s="8"/>
      <c r="J43" s="8"/>
      <c r="K43" s="8"/>
      <c r="L43" s="8"/>
      <c r="M43" s="4" t="s">
        <v>83</v>
      </c>
      <c r="N43" s="4" t="s">
        <v>93</v>
      </c>
      <c r="O43" s="5">
        <v>45803</v>
      </c>
      <c r="P43" s="5">
        <v>45824</v>
      </c>
      <c r="Q43" s="4"/>
      <c r="R43" s="4"/>
    </row>
    <row r="44" spans="1:18" ht="14.25" customHeight="1" x14ac:dyDescent="0.35">
      <c r="A44" s="1" t="s">
        <v>149</v>
      </c>
      <c r="B44" s="4" t="s">
        <v>150</v>
      </c>
      <c r="C44" s="4">
        <v>78.2</v>
      </c>
      <c r="D44" s="4" t="s">
        <v>148</v>
      </c>
      <c r="E44" s="4">
        <v>3</v>
      </c>
      <c r="F44" s="5">
        <v>45822</v>
      </c>
      <c r="G44" s="5">
        <v>45823</v>
      </c>
      <c r="H44" s="5"/>
      <c r="I44" s="5"/>
      <c r="J44" s="5"/>
      <c r="K44" s="5"/>
      <c r="L44" s="5"/>
      <c r="M44" s="4" t="s">
        <v>12</v>
      </c>
      <c r="N44" s="4" t="s">
        <v>93</v>
      </c>
      <c r="O44" s="5">
        <v>45803</v>
      </c>
      <c r="P44" s="5">
        <v>45824</v>
      </c>
      <c r="Q44" s="4"/>
      <c r="R44" s="4" t="s">
        <v>151</v>
      </c>
    </row>
    <row r="45" spans="1:18" ht="14.25" customHeight="1" x14ac:dyDescent="0.35">
      <c r="A45" s="1" t="s">
        <v>54</v>
      </c>
      <c r="B45" s="4" t="s">
        <v>55</v>
      </c>
      <c r="C45" s="4">
        <v>78.3</v>
      </c>
      <c r="D45" s="4" t="s">
        <v>148</v>
      </c>
      <c r="E45" s="4">
        <v>3</v>
      </c>
      <c r="F45" s="5">
        <v>45823</v>
      </c>
      <c r="G45" s="5">
        <v>45826</v>
      </c>
      <c r="H45" s="5"/>
      <c r="I45" s="5"/>
      <c r="J45" s="5"/>
      <c r="K45" s="5"/>
      <c r="L45" s="5"/>
      <c r="M45" s="4" t="s">
        <v>12</v>
      </c>
      <c r="N45" s="4" t="s">
        <v>93</v>
      </c>
      <c r="O45" s="5">
        <v>45803</v>
      </c>
      <c r="P45" s="5">
        <v>45824</v>
      </c>
      <c r="Q45" s="4"/>
      <c r="R45" s="4" t="s">
        <v>152</v>
      </c>
    </row>
    <row r="46" spans="1:18" ht="14.25" customHeight="1" x14ac:dyDescent="0.35">
      <c r="A46" s="1" t="s">
        <v>153</v>
      </c>
      <c r="B46" s="4" t="s">
        <v>154</v>
      </c>
      <c r="C46" s="4">
        <v>79</v>
      </c>
      <c r="D46" s="4" t="s">
        <v>155</v>
      </c>
      <c r="E46" s="4">
        <v>3</v>
      </c>
      <c r="F46" s="8">
        <v>45797</v>
      </c>
      <c r="G46" s="5">
        <v>45803</v>
      </c>
      <c r="H46" s="5"/>
      <c r="I46" s="5"/>
      <c r="J46" s="5"/>
      <c r="K46" s="5"/>
      <c r="L46" s="5"/>
      <c r="M46" s="4" t="s">
        <v>12</v>
      </c>
      <c r="N46" s="4" t="s">
        <v>100</v>
      </c>
      <c r="O46" s="5">
        <v>45803</v>
      </c>
      <c r="P46" s="4" t="s">
        <v>178</v>
      </c>
      <c r="Q46" s="4"/>
      <c r="R46" s="4" t="s">
        <v>220</v>
      </c>
    </row>
    <row r="47" spans="1:18" ht="14.25" customHeight="1" x14ac:dyDescent="0.35">
      <c r="A47" s="1" t="s">
        <v>156</v>
      </c>
      <c r="B47" s="4" t="s">
        <v>157</v>
      </c>
      <c r="C47" s="4">
        <v>80</v>
      </c>
      <c r="D47" s="4" t="s">
        <v>158</v>
      </c>
      <c r="E47" s="4">
        <v>3</v>
      </c>
      <c r="F47" s="8">
        <v>45797</v>
      </c>
      <c r="G47" s="5">
        <v>45803</v>
      </c>
      <c r="H47" s="5"/>
      <c r="I47" s="5"/>
      <c r="J47" s="5"/>
      <c r="K47" s="5"/>
      <c r="L47" s="5"/>
      <c r="M47" s="4" t="s">
        <v>12</v>
      </c>
      <c r="N47" s="4" t="s">
        <v>100</v>
      </c>
      <c r="O47" s="5">
        <v>45803</v>
      </c>
      <c r="P47" s="4" t="s">
        <v>178</v>
      </c>
      <c r="Q47" s="4"/>
      <c r="R47" s="4" t="s">
        <v>221</v>
      </c>
    </row>
    <row r="48" spans="1:18" ht="14.25" customHeight="1" x14ac:dyDescent="0.35">
      <c r="A48" s="1" t="s">
        <v>159</v>
      </c>
      <c r="B48" s="4" t="s">
        <v>160</v>
      </c>
      <c r="C48" s="4">
        <v>81</v>
      </c>
      <c r="D48" s="4" t="s">
        <v>161</v>
      </c>
      <c r="E48" s="4">
        <v>3</v>
      </c>
      <c r="F48" s="8">
        <v>45797</v>
      </c>
      <c r="G48" s="5">
        <v>45802</v>
      </c>
      <c r="H48" s="5"/>
      <c r="I48" s="5"/>
      <c r="J48" s="5"/>
      <c r="K48" s="5"/>
      <c r="L48" s="5"/>
      <c r="M48" s="4" t="s">
        <v>83</v>
      </c>
      <c r="N48" s="4" t="s">
        <v>100</v>
      </c>
      <c r="O48" s="5">
        <v>45803</v>
      </c>
      <c r="P48" s="4" t="s">
        <v>178</v>
      </c>
      <c r="Q48" s="4"/>
      <c r="R48" s="4"/>
    </row>
    <row r="49" spans="1:18" ht="14.25" customHeight="1" x14ac:dyDescent="0.35">
      <c r="A49" s="1" t="s">
        <v>162</v>
      </c>
      <c r="B49" s="4" t="s">
        <v>163</v>
      </c>
      <c r="C49" s="4">
        <v>83</v>
      </c>
      <c r="D49" s="4" t="s">
        <v>164</v>
      </c>
      <c r="E49" s="4">
        <v>3</v>
      </c>
      <c r="F49" s="8">
        <v>45797</v>
      </c>
      <c r="G49" s="5">
        <v>45814</v>
      </c>
      <c r="H49" s="5"/>
      <c r="I49" s="5"/>
      <c r="J49" s="5"/>
      <c r="K49" s="5"/>
      <c r="L49" s="5"/>
      <c r="M49" s="4" t="s">
        <v>83</v>
      </c>
      <c r="N49" s="4" t="s">
        <v>93</v>
      </c>
      <c r="O49" s="5">
        <v>45803</v>
      </c>
      <c r="P49" s="5">
        <v>45824</v>
      </c>
      <c r="Q49" s="4"/>
      <c r="R49" s="4"/>
    </row>
    <row r="50" spans="1:18" ht="14.25" customHeight="1" x14ac:dyDescent="0.35">
      <c r="A50" s="1" t="s">
        <v>165</v>
      </c>
      <c r="B50" s="4" t="s">
        <v>166</v>
      </c>
      <c r="C50" s="4">
        <v>83.2</v>
      </c>
      <c r="D50" s="4" t="s">
        <v>164</v>
      </c>
      <c r="E50" s="4">
        <v>3</v>
      </c>
      <c r="F50" s="5">
        <v>45822</v>
      </c>
      <c r="G50" s="5">
        <v>45826</v>
      </c>
      <c r="H50" s="5"/>
      <c r="I50" s="5"/>
      <c r="J50" s="5"/>
      <c r="K50" s="5"/>
      <c r="L50" s="5"/>
      <c r="M50" s="4" t="s">
        <v>12</v>
      </c>
      <c r="N50" s="4" t="s">
        <v>93</v>
      </c>
      <c r="O50" s="5">
        <v>45803</v>
      </c>
      <c r="P50" s="5">
        <v>45824</v>
      </c>
      <c r="Q50" s="4" t="s">
        <v>75</v>
      </c>
      <c r="R50" s="4" t="s">
        <v>167</v>
      </c>
    </row>
    <row r="51" spans="1:18" ht="14.25" customHeight="1" x14ac:dyDescent="0.35">
      <c r="A51" s="1" t="s">
        <v>168</v>
      </c>
      <c r="B51" s="4" t="s">
        <v>169</v>
      </c>
      <c r="C51" s="4">
        <v>86</v>
      </c>
      <c r="D51" s="4" t="s">
        <v>170</v>
      </c>
      <c r="E51" s="4">
        <v>3</v>
      </c>
      <c r="F51" s="8">
        <v>45797</v>
      </c>
      <c r="G51" s="5">
        <v>45808</v>
      </c>
      <c r="H51" s="5"/>
      <c r="I51" s="5"/>
      <c r="J51" s="5"/>
      <c r="K51" s="5"/>
      <c r="L51" s="5"/>
      <c r="M51" s="4" t="s">
        <v>83</v>
      </c>
      <c r="N51" s="4" t="s">
        <v>93</v>
      </c>
      <c r="O51" s="5">
        <v>45803</v>
      </c>
      <c r="P51" s="4" t="s">
        <v>178</v>
      </c>
      <c r="Q51" s="4"/>
      <c r="R51" s="4" t="s">
        <v>222</v>
      </c>
    </row>
    <row r="52" spans="1:18" ht="14.25" customHeight="1" x14ac:dyDescent="0.35">
      <c r="A52" s="1" t="s">
        <v>171</v>
      </c>
      <c r="B52" s="4" t="s">
        <v>172</v>
      </c>
      <c r="C52" s="4">
        <v>87</v>
      </c>
      <c r="D52" s="4" t="s">
        <v>173</v>
      </c>
      <c r="E52" s="4">
        <v>3</v>
      </c>
      <c r="F52" s="8">
        <v>45797</v>
      </c>
      <c r="G52" s="5">
        <v>45802</v>
      </c>
      <c r="H52" s="5"/>
      <c r="I52" s="5"/>
      <c r="J52" s="5"/>
      <c r="K52" s="5"/>
      <c r="L52" s="5"/>
      <c r="M52" s="4" t="s">
        <v>83</v>
      </c>
      <c r="N52" s="4" t="s">
        <v>100</v>
      </c>
      <c r="O52" s="5">
        <v>45803</v>
      </c>
      <c r="P52" s="5">
        <v>45824</v>
      </c>
      <c r="Q52" s="4"/>
      <c r="R52" s="4"/>
    </row>
    <row r="53" spans="1:18" ht="14.25" customHeight="1" x14ac:dyDescent="0.35">
      <c r="A53" s="1" t="s">
        <v>174</v>
      </c>
      <c r="B53" s="4" t="s">
        <v>175</v>
      </c>
      <c r="C53" s="4">
        <v>87.2</v>
      </c>
      <c r="D53" s="4" t="s">
        <v>173</v>
      </c>
      <c r="E53" s="4">
        <v>3</v>
      </c>
      <c r="F53" s="5">
        <v>45822</v>
      </c>
      <c r="G53" s="5">
        <v>45826</v>
      </c>
      <c r="H53" s="5"/>
      <c r="I53" s="5"/>
      <c r="J53" s="5"/>
      <c r="K53" s="5"/>
      <c r="L53" s="5"/>
      <c r="M53" s="4" t="s">
        <v>12</v>
      </c>
      <c r="N53" s="4" t="s">
        <v>100</v>
      </c>
      <c r="O53" s="5">
        <v>45803</v>
      </c>
      <c r="P53" s="5">
        <v>45824</v>
      </c>
      <c r="Q53" s="4"/>
      <c r="R53" s="4" t="s">
        <v>217</v>
      </c>
    </row>
    <row r="54" spans="1:18" ht="14.25" customHeight="1" x14ac:dyDescent="0.35">
      <c r="A54" s="1" t="s">
        <v>176</v>
      </c>
      <c r="B54" s="4" t="s">
        <v>177</v>
      </c>
      <c r="C54" s="4" t="s">
        <v>178</v>
      </c>
      <c r="D54" s="4" t="s">
        <v>178</v>
      </c>
      <c r="E54" s="4">
        <v>1</v>
      </c>
      <c r="F54" s="4"/>
      <c r="G54" s="4"/>
      <c r="H54" s="4"/>
      <c r="I54" s="4"/>
      <c r="J54" s="4"/>
      <c r="K54" s="4"/>
      <c r="L54" s="4"/>
      <c r="M54" s="4" t="s">
        <v>12</v>
      </c>
      <c r="N54" s="4"/>
      <c r="O54" s="4"/>
      <c r="P54" s="4"/>
      <c r="Q54" s="4"/>
      <c r="R54" s="4" t="s">
        <v>179</v>
      </c>
    </row>
    <row r="55" spans="1:18" ht="14.25" customHeight="1" x14ac:dyDescent="0.35">
      <c r="A55" s="1" t="s">
        <v>180</v>
      </c>
      <c r="B55" s="4" t="s">
        <v>181</v>
      </c>
      <c r="C55" s="4" t="s">
        <v>178</v>
      </c>
      <c r="D55" s="4" t="s">
        <v>178</v>
      </c>
      <c r="E55" s="4">
        <v>1</v>
      </c>
      <c r="F55" s="4"/>
      <c r="G55" s="4"/>
      <c r="H55" s="4"/>
      <c r="I55" s="4"/>
      <c r="J55" s="4"/>
      <c r="K55" s="4"/>
      <c r="L55" s="4"/>
      <c r="M55" s="4" t="s">
        <v>12</v>
      </c>
      <c r="N55" s="4"/>
      <c r="O55" s="4"/>
      <c r="P55" s="4"/>
      <c r="Q55" s="4"/>
      <c r="R55" s="4" t="s">
        <v>179</v>
      </c>
    </row>
    <row r="56" spans="1:18" ht="14.25" customHeight="1" x14ac:dyDescent="0.35">
      <c r="A56" s="1" t="s">
        <v>182</v>
      </c>
      <c r="B56" s="4" t="s">
        <v>183</v>
      </c>
      <c r="C56" s="4" t="s">
        <v>178</v>
      </c>
      <c r="D56" s="4" t="s">
        <v>178</v>
      </c>
      <c r="E56" s="4">
        <v>2</v>
      </c>
      <c r="F56" s="4"/>
      <c r="G56" s="4"/>
      <c r="H56" s="4"/>
      <c r="I56" s="4"/>
      <c r="J56" s="4"/>
      <c r="K56" s="4"/>
      <c r="L56" s="4"/>
      <c r="M56" s="4" t="s">
        <v>12</v>
      </c>
      <c r="N56" s="4"/>
      <c r="O56" s="4"/>
      <c r="P56" s="4"/>
      <c r="Q56" s="4"/>
      <c r="R56" s="4" t="s">
        <v>179</v>
      </c>
    </row>
    <row r="57" spans="1:18" ht="14.25" customHeight="1" x14ac:dyDescent="0.35">
      <c r="A57" s="1" t="s">
        <v>184</v>
      </c>
      <c r="B57" s="4" t="s">
        <v>185</v>
      </c>
      <c r="C57" s="4"/>
      <c r="D57" s="4"/>
      <c r="E57" s="4">
        <v>2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ht="14.25" customHeight="1" x14ac:dyDescent="0.35"/>
    <row r="59" spans="1:18" ht="14.25" customHeight="1" x14ac:dyDescent="0.35"/>
    <row r="60" spans="1:18" ht="14.25" customHeight="1" x14ac:dyDescent="0.35"/>
    <row r="61" spans="1:18" ht="14.25" customHeight="1" x14ac:dyDescent="0.35"/>
    <row r="62" spans="1:18" ht="14.25" customHeight="1" x14ac:dyDescent="0.35"/>
    <row r="63" spans="1:18" ht="14.25" customHeight="1" x14ac:dyDescent="0.35"/>
    <row r="64" spans="1:18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</sheetData>
  <autoFilter ref="A1:AK997" xr:uid="{00000000-0009-0000-0000-000000000000}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9"/>
  <sheetViews>
    <sheetView workbookViewId="0"/>
  </sheetViews>
  <sheetFormatPr defaultColWidth="14.453125" defaultRowHeight="15" customHeight="1" x14ac:dyDescent="0.35"/>
  <sheetData>
    <row r="2" spans="1:3" x14ac:dyDescent="0.35">
      <c r="A2" s="1" t="s">
        <v>186</v>
      </c>
      <c r="B2" s="1" t="s">
        <v>12</v>
      </c>
      <c r="C2" s="1" t="s">
        <v>83</v>
      </c>
    </row>
    <row r="3" spans="1:3" x14ac:dyDescent="0.35">
      <c r="A3" s="1" t="s">
        <v>21</v>
      </c>
      <c r="B3" s="1">
        <f>COUNTIFS(BUTTS!N:N,"SHAM",BUTTS!M:M,"Downloaded")</f>
        <v>4</v>
      </c>
      <c r="C3" s="1">
        <f>COUNTIFS(BUTTS!N:N,"SHAM",BUTTS!M:M,"No Data")</f>
        <v>1</v>
      </c>
    </row>
    <row r="4" spans="1:3" x14ac:dyDescent="0.35">
      <c r="A4" s="1" t="s">
        <v>13</v>
      </c>
      <c r="B4" s="1">
        <f>COUNTIFS(BUTTS!N:N,"eVLP",BUTTS!M:M,"Downloaded")</f>
        <v>3</v>
      </c>
      <c r="C4" s="1">
        <f>COUNTIFS(BUTTS!N:N,"eVLP",BUTTS!M:M,"No Data")</f>
        <v>2</v>
      </c>
    </row>
    <row r="5" spans="1:3" x14ac:dyDescent="0.35">
      <c r="A5" s="1" t="s">
        <v>187</v>
      </c>
      <c r="B5" s="1">
        <f>COUNTIFS(BUTTS!N:N,"eVLP+POLY",BUTTS!M:M,"Downloaded")</f>
        <v>3</v>
      </c>
      <c r="C5" s="1">
        <f>COUNTIFS(BUTTS!N:N,"eVLP+POLY",BUTTS!M:M,"No Data")</f>
        <v>1</v>
      </c>
    </row>
    <row r="6" spans="1:3" x14ac:dyDescent="0.35">
      <c r="A6" s="1" t="s">
        <v>188</v>
      </c>
      <c r="B6" s="1">
        <f>COUNTIFS(BUTTS!N:N,"eVLP+cGAMP",BUTTS!M:M,"Downloaded")</f>
        <v>4</v>
      </c>
      <c r="C6" s="1">
        <f>COUNTIFS(BUTTS!N:N,"eVLP+cGAMP",BUTTS!M:M,"No Data")</f>
        <v>0</v>
      </c>
    </row>
    <row r="7" spans="1:3" x14ac:dyDescent="0.35">
      <c r="A7" s="1" t="s">
        <v>189</v>
      </c>
      <c r="B7" s="1">
        <f>COUNTIFS(BUTTS!N:N,"eVLP+LPS",BUTTS!M:M,"Downloaded")</f>
        <v>4</v>
      </c>
      <c r="C7" s="1">
        <f>COUNTIFS(BUTTS!N:N,"eVLP+LPS",BUTTS!M:M,"No Data")</f>
        <v>1</v>
      </c>
    </row>
    <row r="8" spans="1:3" x14ac:dyDescent="0.35">
      <c r="A8" s="1" t="s">
        <v>93</v>
      </c>
      <c r="B8" s="1">
        <f>COUNTIFS(BUTTS!N:N,"Cold",BUTTS!M:M,"Downloaded")</f>
        <v>12</v>
      </c>
      <c r="C8" s="1">
        <f>COUNTIFS(BUTTS!N:N,"Cold",BUTTS!M:M,"No Data")</f>
        <v>7</v>
      </c>
    </row>
    <row r="9" spans="1:3" x14ac:dyDescent="0.35">
      <c r="A9" s="1" t="s">
        <v>100</v>
      </c>
      <c r="B9" s="1">
        <f>COUNTIFS(BUTTS!N:N,"Hot",BUTTS!M:M,"Downloaded")</f>
        <v>4</v>
      </c>
      <c r="C9" s="1">
        <f>COUNTIFS(BUTTS!N:N,"Hot",BUTTS!M:M,"No Data")</f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2"/>
  <sheetViews>
    <sheetView workbookViewId="0"/>
  </sheetViews>
  <sheetFormatPr defaultColWidth="14.453125" defaultRowHeight="15" customHeight="1" x14ac:dyDescent="0.35"/>
  <cols>
    <col min="2" max="2" width="20.26953125" customWidth="1"/>
  </cols>
  <sheetData>
    <row r="1" spans="1:6" x14ac:dyDescent="0.35">
      <c r="A1" s="1" t="s">
        <v>0</v>
      </c>
      <c r="B1" s="1" t="s">
        <v>190</v>
      </c>
      <c r="C1" s="1" t="s">
        <v>4</v>
      </c>
    </row>
    <row r="2" spans="1:6" x14ac:dyDescent="0.35">
      <c r="A2" s="1" t="s">
        <v>191</v>
      </c>
      <c r="B2" s="1" t="s">
        <v>192</v>
      </c>
      <c r="C2" s="1">
        <v>1</v>
      </c>
      <c r="E2" s="2">
        <v>45827</v>
      </c>
      <c r="F2" s="1" t="s">
        <v>12</v>
      </c>
    </row>
    <row r="3" spans="1:6" x14ac:dyDescent="0.35">
      <c r="A3" s="3" t="s">
        <v>193</v>
      </c>
      <c r="B3" s="1" t="s">
        <v>194</v>
      </c>
      <c r="C3" s="1">
        <v>1</v>
      </c>
      <c r="E3" s="2">
        <v>45827</v>
      </c>
      <c r="F3" s="1" t="s">
        <v>12</v>
      </c>
    </row>
    <row r="4" spans="1:6" x14ac:dyDescent="0.35">
      <c r="A4" s="1" t="s">
        <v>195</v>
      </c>
      <c r="B4" s="1" t="s">
        <v>196</v>
      </c>
      <c r="C4" s="1">
        <v>1</v>
      </c>
      <c r="E4" s="2">
        <v>45827</v>
      </c>
      <c r="F4" s="1" t="s">
        <v>12</v>
      </c>
    </row>
    <row r="5" spans="1:6" x14ac:dyDescent="0.35">
      <c r="A5" s="1" t="s">
        <v>197</v>
      </c>
      <c r="B5" s="1" t="s">
        <v>198</v>
      </c>
      <c r="C5" s="1">
        <v>3</v>
      </c>
    </row>
    <row r="6" spans="1:6" x14ac:dyDescent="0.35">
      <c r="A6" s="1" t="s">
        <v>199</v>
      </c>
      <c r="B6" s="1" t="s">
        <v>200</v>
      </c>
      <c r="C6" s="1">
        <v>3</v>
      </c>
    </row>
    <row r="7" spans="1:6" x14ac:dyDescent="0.35">
      <c r="A7" s="1" t="s">
        <v>201</v>
      </c>
      <c r="B7" s="1" t="s">
        <v>202</v>
      </c>
      <c r="C7" s="1">
        <v>3</v>
      </c>
    </row>
    <row r="8" spans="1:6" x14ac:dyDescent="0.35">
      <c r="A8" s="1" t="s">
        <v>203</v>
      </c>
      <c r="B8" s="1" t="s">
        <v>204</v>
      </c>
      <c r="C8" s="1">
        <v>3</v>
      </c>
    </row>
    <row r="9" spans="1:6" x14ac:dyDescent="0.35">
      <c r="A9" s="1" t="s">
        <v>205</v>
      </c>
      <c r="B9" s="1" t="s">
        <v>206</v>
      </c>
      <c r="C9" s="1">
        <v>3</v>
      </c>
    </row>
    <row r="10" spans="1:6" x14ac:dyDescent="0.35">
      <c r="A10" s="1" t="s">
        <v>205</v>
      </c>
      <c r="B10" s="1" t="s">
        <v>207</v>
      </c>
      <c r="C10" s="1">
        <v>3</v>
      </c>
      <c r="D10" s="2">
        <v>45822</v>
      </c>
      <c r="E10" s="2">
        <v>45826</v>
      </c>
      <c r="F10" s="1" t="s">
        <v>12</v>
      </c>
    </row>
    <row r="11" spans="1:6" x14ac:dyDescent="0.35">
      <c r="A11" s="1" t="s">
        <v>199</v>
      </c>
      <c r="B11" s="1" t="s">
        <v>208</v>
      </c>
      <c r="C11" s="1">
        <v>3</v>
      </c>
      <c r="D11" s="2">
        <v>45822</v>
      </c>
      <c r="E11" s="2">
        <v>45826</v>
      </c>
      <c r="F11" s="1" t="s">
        <v>12</v>
      </c>
    </row>
    <row r="12" spans="1:6" x14ac:dyDescent="0.35">
      <c r="A12" s="1" t="s">
        <v>209</v>
      </c>
      <c r="B12" s="1" t="s">
        <v>210</v>
      </c>
      <c r="C12" s="1" t="s">
        <v>211</v>
      </c>
      <c r="D12" s="2">
        <v>45822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BUTTS</vt:lpstr>
      <vt:lpstr>Counts</vt:lpstr>
      <vt:lpstr>Roost Temps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Ashlyn P Sak</dc:creator>
  <cp:lastModifiedBy>Ashlyn Sak</cp:lastModifiedBy>
  <dcterms:created xsi:type="dcterms:W3CDTF">2025-05-16T09:02:23Z</dcterms:created>
  <dcterms:modified xsi:type="dcterms:W3CDTF">2025-10-06T02:47:56Z</dcterms:modified>
</cp:coreProperties>
</file>